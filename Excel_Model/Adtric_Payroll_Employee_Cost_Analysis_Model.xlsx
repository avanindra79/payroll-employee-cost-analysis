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91790\Desktop\Project\"/>
    </mc:Choice>
  </mc:AlternateContent>
  <xr:revisionPtr revIDLastSave="0" documentId="13_ncr:1_{2393A4BC-CE24-494C-B8A1-549DC920EA85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README" sheetId="1" r:id="rId1"/>
    <sheet name="Employee_Data" sheetId="2" r:id="rId2"/>
    <sheet name="Payroll_Calculation" sheetId="3" r:id="rId3"/>
    <sheet name="Department_Cost_Analysis" sheetId="4" r:id="rId4"/>
    <sheet name="Budget_vs_Actual" sheetId="5" r:id="rId5"/>
    <sheet name="Scenario_Analysis" sheetId="6" r:id="rId6"/>
    <sheet name="Dashboard" sheetId="7" r:id="rId7"/>
    <sheet name="Management_Insights" sheetId="8" r:id="rId8"/>
  </sheets>
  <definedNames>
    <definedName name="_xlcn.WorksheetConnection_Adtric_Payroll_Employee_Cost_Analysis_Model.xlsxTable11" hidden="1">Table1[]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" name="Table1" connection="WorksheetConnection_Adtric_Payroll_Employee_Cost_Analysis_Model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7" l="1"/>
  <c r="D8" i="7"/>
  <c r="D5" i="7"/>
  <c r="B5" i="7"/>
  <c r="C4" i="4"/>
  <c r="L101" i="3"/>
  <c r="J101" i="3"/>
  <c r="I101" i="3"/>
  <c r="G101" i="3"/>
  <c r="F101" i="3"/>
  <c r="E101" i="3"/>
  <c r="D101" i="3"/>
  <c r="C101" i="3"/>
  <c r="H101" i="3" s="1"/>
  <c r="B101" i="3"/>
  <c r="A101" i="3"/>
  <c r="L100" i="3"/>
  <c r="J100" i="3"/>
  <c r="I100" i="3"/>
  <c r="G100" i="3"/>
  <c r="F100" i="3"/>
  <c r="E100" i="3"/>
  <c r="D100" i="3"/>
  <c r="H100" i="3" s="1"/>
  <c r="C100" i="3"/>
  <c r="B100" i="3"/>
  <c r="A100" i="3"/>
  <c r="L99" i="3"/>
  <c r="J99" i="3"/>
  <c r="I99" i="3"/>
  <c r="G99" i="3"/>
  <c r="F99" i="3"/>
  <c r="E99" i="3"/>
  <c r="D99" i="3"/>
  <c r="C99" i="3"/>
  <c r="H99" i="3" s="1"/>
  <c r="B99" i="3"/>
  <c r="A99" i="3"/>
  <c r="L98" i="3"/>
  <c r="J98" i="3"/>
  <c r="I98" i="3"/>
  <c r="G98" i="3"/>
  <c r="F98" i="3"/>
  <c r="E98" i="3"/>
  <c r="D98" i="3"/>
  <c r="C98" i="3"/>
  <c r="H98" i="3" s="1"/>
  <c r="B98" i="3"/>
  <c r="A98" i="3"/>
  <c r="L97" i="3"/>
  <c r="J97" i="3"/>
  <c r="I97" i="3"/>
  <c r="G97" i="3"/>
  <c r="F97" i="3"/>
  <c r="E97" i="3"/>
  <c r="D97" i="3"/>
  <c r="C97" i="3"/>
  <c r="H97" i="3" s="1"/>
  <c r="B97" i="3"/>
  <c r="A97" i="3"/>
  <c r="L96" i="3"/>
  <c r="J96" i="3"/>
  <c r="I96" i="3"/>
  <c r="H96" i="3"/>
  <c r="M96" i="3" s="1"/>
  <c r="G96" i="3"/>
  <c r="F96" i="3"/>
  <c r="E96" i="3"/>
  <c r="D96" i="3"/>
  <c r="C96" i="3"/>
  <c r="B96" i="3"/>
  <c r="A96" i="3"/>
  <c r="L95" i="3"/>
  <c r="J95" i="3"/>
  <c r="I95" i="3"/>
  <c r="G95" i="3"/>
  <c r="F95" i="3"/>
  <c r="E95" i="3"/>
  <c r="D95" i="3"/>
  <c r="C95" i="3"/>
  <c r="H95" i="3" s="1"/>
  <c r="B95" i="3"/>
  <c r="A95" i="3"/>
  <c r="L94" i="3"/>
  <c r="J94" i="3"/>
  <c r="I94" i="3"/>
  <c r="G94" i="3"/>
  <c r="F94" i="3"/>
  <c r="E94" i="3"/>
  <c r="D94" i="3"/>
  <c r="C94" i="3"/>
  <c r="H94" i="3" s="1"/>
  <c r="B94" i="3"/>
  <c r="A94" i="3"/>
  <c r="L93" i="3"/>
  <c r="J93" i="3"/>
  <c r="I93" i="3"/>
  <c r="G93" i="3"/>
  <c r="F93" i="3"/>
  <c r="E93" i="3"/>
  <c r="D93" i="3"/>
  <c r="C93" i="3"/>
  <c r="H93" i="3" s="1"/>
  <c r="B93" i="3"/>
  <c r="A93" i="3"/>
  <c r="L92" i="3"/>
  <c r="J92" i="3"/>
  <c r="I92" i="3"/>
  <c r="G92" i="3"/>
  <c r="F92" i="3"/>
  <c r="E92" i="3"/>
  <c r="D92" i="3"/>
  <c r="C92" i="3"/>
  <c r="H92" i="3" s="1"/>
  <c r="B92" i="3"/>
  <c r="A92" i="3"/>
  <c r="L91" i="3"/>
  <c r="J91" i="3"/>
  <c r="I91" i="3"/>
  <c r="G91" i="3"/>
  <c r="H91" i="3" s="1"/>
  <c r="F91" i="3"/>
  <c r="E91" i="3"/>
  <c r="D91" i="3"/>
  <c r="C91" i="3"/>
  <c r="B91" i="3"/>
  <c r="A91" i="3"/>
  <c r="L90" i="3"/>
  <c r="J90" i="3"/>
  <c r="I90" i="3"/>
  <c r="H90" i="3"/>
  <c r="M90" i="3" s="1"/>
  <c r="G90" i="3"/>
  <c r="F90" i="3"/>
  <c r="E90" i="3"/>
  <c r="D90" i="3"/>
  <c r="C90" i="3"/>
  <c r="B90" i="3"/>
  <c r="A90" i="3"/>
  <c r="L89" i="3"/>
  <c r="J89" i="3"/>
  <c r="I89" i="3"/>
  <c r="G89" i="3"/>
  <c r="F89" i="3"/>
  <c r="E89" i="3"/>
  <c r="D89" i="3"/>
  <c r="C89" i="3"/>
  <c r="H89" i="3" s="1"/>
  <c r="B89" i="3"/>
  <c r="A89" i="3"/>
  <c r="L88" i="3"/>
  <c r="J88" i="3"/>
  <c r="I88" i="3"/>
  <c r="G88" i="3"/>
  <c r="F88" i="3"/>
  <c r="E88" i="3"/>
  <c r="D88" i="3"/>
  <c r="H88" i="3" s="1"/>
  <c r="C88" i="3"/>
  <c r="B88" i="3"/>
  <c r="A88" i="3"/>
  <c r="L87" i="3"/>
  <c r="J87" i="3"/>
  <c r="I87" i="3"/>
  <c r="G87" i="3"/>
  <c r="F87" i="3"/>
  <c r="E87" i="3"/>
  <c r="D87" i="3"/>
  <c r="C87" i="3"/>
  <c r="H87" i="3" s="1"/>
  <c r="B87" i="3"/>
  <c r="A87" i="3"/>
  <c r="L86" i="3"/>
  <c r="J86" i="3"/>
  <c r="I86" i="3"/>
  <c r="G86" i="3"/>
  <c r="F86" i="3"/>
  <c r="E86" i="3"/>
  <c r="D86" i="3"/>
  <c r="C86" i="3"/>
  <c r="H86" i="3" s="1"/>
  <c r="B86" i="3"/>
  <c r="A86" i="3"/>
  <c r="L85" i="3"/>
  <c r="J85" i="3"/>
  <c r="I85" i="3"/>
  <c r="G85" i="3"/>
  <c r="F85" i="3"/>
  <c r="E85" i="3"/>
  <c r="D85" i="3"/>
  <c r="C85" i="3"/>
  <c r="H85" i="3" s="1"/>
  <c r="B85" i="3"/>
  <c r="A85" i="3"/>
  <c r="L84" i="3"/>
  <c r="J84" i="3"/>
  <c r="I84" i="3"/>
  <c r="H84" i="3"/>
  <c r="M84" i="3" s="1"/>
  <c r="G84" i="3"/>
  <c r="F84" i="3"/>
  <c r="E84" i="3"/>
  <c r="D84" i="3"/>
  <c r="C84" i="3"/>
  <c r="B84" i="3"/>
  <c r="A84" i="3"/>
  <c r="L83" i="3"/>
  <c r="J83" i="3"/>
  <c r="I83" i="3"/>
  <c r="G83" i="3"/>
  <c r="F83" i="3"/>
  <c r="E83" i="3"/>
  <c r="D83" i="3"/>
  <c r="C83" i="3"/>
  <c r="H83" i="3" s="1"/>
  <c r="B83" i="3"/>
  <c r="A83" i="3"/>
  <c r="L82" i="3"/>
  <c r="J82" i="3"/>
  <c r="I82" i="3"/>
  <c r="G82" i="3"/>
  <c r="F82" i="3"/>
  <c r="E82" i="3"/>
  <c r="D82" i="3"/>
  <c r="C82" i="3"/>
  <c r="H82" i="3" s="1"/>
  <c r="B82" i="3"/>
  <c r="A82" i="3"/>
  <c r="L81" i="3"/>
  <c r="J81" i="3"/>
  <c r="I81" i="3"/>
  <c r="G81" i="3"/>
  <c r="F81" i="3"/>
  <c r="E81" i="3"/>
  <c r="D81" i="3"/>
  <c r="C81" i="3"/>
  <c r="H81" i="3" s="1"/>
  <c r="B81" i="3"/>
  <c r="A81" i="3"/>
  <c r="L80" i="3"/>
  <c r="J80" i="3"/>
  <c r="I80" i="3"/>
  <c r="G80" i="3"/>
  <c r="F80" i="3"/>
  <c r="E80" i="3"/>
  <c r="D80" i="3"/>
  <c r="C80" i="3"/>
  <c r="H80" i="3" s="1"/>
  <c r="B80" i="3"/>
  <c r="A80" i="3"/>
  <c r="L79" i="3"/>
  <c r="J79" i="3"/>
  <c r="I79" i="3"/>
  <c r="G79" i="3"/>
  <c r="H79" i="3" s="1"/>
  <c r="F79" i="3"/>
  <c r="E79" i="3"/>
  <c r="D79" i="3"/>
  <c r="C79" i="3"/>
  <c r="B79" i="3"/>
  <c r="A79" i="3"/>
  <c r="L78" i="3"/>
  <c r="J78" i="3"/>
  <c r="I78" i="3"/>
  <c r="H78" i="3"/>
  <c r="M78" i="3" s="1"/>
  <c r="G78" i="3"/>
  <c r="F78" i="3"/>
  <c r="E78" i="3"/>
  <c r="D78" i="3"/>
  <c r="C78" i="3"/>
  <c r="B78" i="3"/>
  <c r="A78" i="3"/>
  <c r="L77" i="3"/>
  <c r="J77" i="3"/>
  <c r="I77" i="3"/>
  <c r="G77" i="3"/>
  <c r="F77" i="3"/>
  <c r="E77" i="3"/>
  <c r="D77" i="3"/>
  <c r="C77" i="3"/>
  <c r="H77" i="3" s="1"/>
  <c r="B77" i="3"/>
  <c r="A77" i="3"/>
  <c r="L76" i="3"/>
  <c r="J76" i="3"/>
  <c r="I76" i="3"/>
  <c r="G76" i="3"/>
  <c r="F76" i="3"/>
  <c r="E76" i="3"/>
  <c r="D76" i="3"/>
  <c r="H76" i="3" s="1"/>
  <c r="C76" i="3"/>
  <c r="B76" i="3"/>
  <c r="A76" i="3"/>
  <c r="L75" i="3"/>
  <c r="J75" i="3"/>
  <c r="I75" i="3"/>
  <c r="G75" i="3"/>
  <c r="F75" i="3"/>
  <c r="E75" i="3"/>
  <c r="D75" i="3"/>
  <c r="C75" i="3"/>
  <c r="H75" i="3" s="1"/>
  <c r="B75" i="3"/>
  <c r="A75" i="3"/>
  <c r="L74" i="3"/>
  <c r="J74" i="3"/>
  <c r="I74" i="3"/>
  <c r="G74" i="3"/>
  <c r="F74" i="3"/>
  <c r="E74" i="3"/>
  <c r="D74" i="3"/>
  <c r="C74" i="3"/>
  <c r="H74" i="3" s="1"/>
  <c r="B74" i="3"/>
  <c r="A74" i="3"/>
  <c r="L73" i="3"/>
  <c r="J73" i="3"/>
  <c r="I73" i="3"/>
  <c r="G73" i="3"/>
  <c r="F73" i="3"/>
  <c r="E73" i="3"/>
  <c r="D73" i="3"/>
  <c r="C73" i="3"/>
  <c r="H73" i="3" s="1"/>
  <c r="B73" i="3"/>
  <c r="A73" i="3"/>
  <c r="L72" i="3"/>
  <c r="J72" i="3"/>
  <c r="I72" i="3"/>
  <c r="H72" i="3"/>
  <c r="M72" i="3" s="1"/>
  <c r="G72" i="3"/>
  <c r="F72" i="3"/>
  <c r="E72" i="3"/>
  <c r="D72" i="3"/>
  <c r="C72" i="3"/>
  <c r="B72" i="3"/>
  <c r="A72" i="3"/>
  <c r="L71" i="3"/>
  <c r="J71" i="3"/>
  <c r="I71" i="3"/>
  <c r="G71" i="3"/>
  <c r="F71" i="3"/>
  <c r="E71" i="3"/>
  <c r="D71" i="3"/>
  <c r="C71" i="3"/>
  <c r="H71" i="3" s="1"/>
  <c r="B71" i="3"/>
  <c r="A71" i="3"/>
  <c r="L70" i="3"/>
  <c r="J70" i="3"/>
  <c r="I70" i="3"/>
  <c r="G70" i="3"/>
  <c r="F70" i="3"/>
  <c r="E70" i="3"/>
  <c r="D70" i="3"/>
  <c r="C70" i="3"/>
  <c r="H70" i="3" s="1"/>
  <c r="B70" i="3"/>
  <c r="A70" i="3"/>
  <c r="L69" i="3"/>
  <c r="J69" i="3"/>
  <c r="I69" i="3"/>
  <c r="G69" i="3"/>
  <c r="F69" i="3"/>
  <c r="E69" i="3"/>
  <c r="D69" i="3"/>
  <c r="C69" i="3"/>
  <c r="H69" i="3" s="1"/>
  <c r="B69" i="3"/>
  <c r="A69" i="3"/>
  <c r="L68" i="3"/>
  <c r="J68" i="3"/>
  <c r="I68" i="3"/>
  <c r="G68" i="3"/>
  <c r="F68" i="3"/>
  <c r="E68" i="3"/>
  <c r="D68" i="3"/>
  <c r="C68" i="3"/>
  <c r="H68" i="3" s="1"/>
  <c r="B68" i="3"/>
  <c r="A68" i="3"/>
  <c r="L67" i="3"/>
  <c r="J67" i="3"/>
  <c r="I67" i="3"/>
  <c r="G67" i="3"/>
  <c r="H67" i="3" s="1"/>
  <c r="F67" i="3"/>
  <c r="E67" i="3"/>
  <c r="D67" i="3"/>
  <c r="C67" i="3"/>
  <c r="B67" i="3"/>
  <c r="A67" i="3"/>
  <c r="L66" i="3"/>
  <c r="J66" i="3"/>
  <c r="I66" i="3"/>
  <c r="H66" i="3"/>
  <c r="M66" i="3" s="1"/>
  <c r="G66" i="3"/>
  <c r="F66" i="3"/>
  <c r="E66" i="3"/>
  <c r="D66" i="3"/>
  <c r="C66" i="3"/>
  <c r="B66" i="3"/>
  <c r="A66" i="3"/>
  <c r="L65" i="3"/>
  <c r="J65" i="3"/>
  <c r="I65" i="3"/>
  <c r="G65" i="3"/>
  <c r="F65" i="3"/>
  <c r="E65" i="3"/>
  <c r="D65" i="3"/>
  <c r="C65" i="3"/>
  <c r="H65" i="3" s="1"/>
  <c r="B65" i="3"/>
  <c r="A65" i="3"/>
  <c r="L64" i="3"/>
  <c r="J64" i="3"/>
  <c r="I64" i="3"/>
  <c r="G64" i="3"/>
  <c r="F64" i="3"/>
  <c r="E64" i="3"/>
  <c r="D64" i="3"/>
  <c r="H64" i="3" s="1"/>
  <c r="C64" i="3"/>
  <c r="B64" i="3"/>
  <c r="A64" i="3"/>
  <c r="L63" i="3"/>
  <c r="J63" i="3"/>
  <c r="I63" i="3"/>
  <c r="G63" i="3"/>
  <c r="F63" i="3"/>
  <c r="E63" i="3"/>
  <c r="D63" i="3"/>
  <c r="C63" i="3"/>
  <c r="H63" i="3" s="1"/>
  <c r="B63" i="3"/>
  <c r="A63" i="3"/>
  <c r="L62" i="3"/>
  <c r="J62" i="3"/>
  <c r="I62" i="3"/>
  <c r="G62" i="3"/>
  <c r="F62" i="3"/>
  <c r="E62" i="3"/>
  <c r="D62" i="3"/>
  <c r="C62" i="3"/>
  <c r="H62" i="3" s="1"/>
  <c r="B62" i="3"/>
  <c r="A62" i="3"/>
  <c r="L61" i="3"/>
  <c r="J61" i="3"/>
  <c r="I61" i="3"/>
  <c r="G61" i="3"/>
  <c r="F61" i="3"/>
  <c r="E61" i="3"/>
  <c r="D61" i="3"/>
  <c r="C61" i="3"/>
  <c r="H61" i="3" s="1"/>
  <c r="B61" i="3"/>
  <c r="A61" i="3"/>
  <c r="L60" i="3"/>
  <c r="J60" i="3"/>
  <c r="I60" i="3"/>
  <c r="H60" i="3"/>
  <c r="M60" i="3" s="1"/>
  <c r="G60" i="3"/>
  <c r="F60" i="3"/>
  <c r="E60" i="3"/>
  <c r="D60" i="3"/>
  <c r="C60" i="3"/>
  <c r="B60" i="3"/>
  <c r="A60" i="3"/>
  <c r="L59" i="3"/>
  <c r="J59" i="3"/>
  <c r="I59" i="3"/>
  <c r="G59" i="3"/>
  <c r="F59" i="3"/>
  <c r="E59" i="3"/>
  <c r="D59" i="3"/>
  <c r="C59" i="3"/>
  <c r="H59" i="3" s="1"/>
  <c r="B59" i="3"/>
  <c r="A59" i="3"/>
  <c r="L58" i="3"/>
  <c r="J58" i="3"/>
  <c r="I58" i="3"/>
  <c r="G58" i="3"/>
  <c r="F58" i="3"/>
  <c r="E58" i="3"/>
  <c r="D58" i="3"/>
  <c r="C58" i="3"/>
  <c r="H58" i="3" s="1"/>
  <c r="B58" i="3"/>
  <c r="A58" i="3"/>
  <c r="L57" i="3"/>
  <c r="J57" i="3"/>
  <c r="I57" i="3"/>
  <c r="G57" i="3"/>
  <c r="F57" i="3"/>
  <c r="E57" i="3"/>
  <c r="D57" i="3"/>
  <c r="C57" i="3"/>
  <c r="H57" i="3" s="1"/>
  <c r="B57" i="3"/>
  <c r="A57" i="3"/>
  <c r="L56" i="3"/>
  <c r="J56" i="3"/>
  <c r="I56" i="3"/>
  <c r="G56" i="3"/>
  <c r="F56" i="3"/>
  <c r="E56" i="3"/>
  <c r="D56" i="3"/>
  <c r="C56" i="3"/>
  <c r="H56" i="3" s="1"/>
  <c r="B56" i="3"/>
  <c r="A56" i="3"/>
  <c r="L55" i="3"/>
  <c r="J55" i="3"/>
  <c r="I55" i="3"/>
  <c r="G55" i="3"/>
  <c r="H55" i="3" s="1"/>
  <c r="F55" i="3"/>
  <c r="E55" i="3"/>
  <c r="D55" i="3"/>
  <c r="C55" i="3"/>
  <c r="B55" i="3"/>
  <c r="A55" i="3"/>
  <c r="L54" i="3"/>
  <c r="J54" i="3"/>
  <c r="I54" i="3"/>
  <c r="H54" i="3"/>
  <c r="M54" i="3" s="1"/>
  <c r="G54" i="3"/>
  <c r="F54" i="3"/>
  <c r="E54" i="3"/>
  <c r="D54" i="3"/>
  <c r="C54" i="3"/>
  <c r="B54" i="3"/>
  <c r="A54" i="3"/>
  <c r="L53" i="3"/>
  <c r="J53" i="3"/>
  <c r="I53" i="3"/>
  <c r="G53" i="3"/>
  <c r="F53" i="3"/>
  <c r="E53" i="3"/>
  <c r="D53" i="3"/>
  <c r="C53" i="3"/>
  <c r="H53" i="3" s="1"/>
  <c r="B53" i="3"/>
  <c r="A53" i="3"/>
  <c r="L52" i="3"/>
  <c r="J52" i="3"/>
  <c r="I52" i="3"/>
  <c r="G52" i="3"/>
  <c r="F52" i="3"/>
  <c r="E52" i="3"/>
  <c r="D52" i="3"/>
  <c r="H52" i="3" s="1"/>
  <c r="C52" i="3"/>
  <c r="B52" i="3"/>
  <c r="A52" i="3"/>
  <c r="L51" i="3"/>
  <c r="J51" i="3"/>
  <c r="I51" i="3"/>
  <c r="G51" i="3"/>
  <c r="F51" i="3"/>
  <c r="E51" i="3"/>
  <c r="D51" i="3"/>
  <c r="C51" i="3"/>
  <c r="H51" i="3" s="1"/>
  <c r="B51" i="3"/>
  <c r="A51" i="3"/>
  <c r="L50" i="3"/>
  <c r="J50" i="3"/>
  <c r="I50" i="3"/>
  <c r="G50" i="3"/>
  <c r="F50" i="3"/>
  <c r="E50" i="3"/>
  <c r="D50" i="3"/>
  <c r="C50" i="3"/>
  <c r="H50" i="3" s="1"/>
  <c r="B50" i="3"/>
  <c r="A50" i="3"/>
  <c r="L49" i="3"/>
  <c r="J49" i="3"/>
  <c r="I49" i="3"/>
  <c r="G49" i="3"/>
  <c r="F49" i="3"/>
  <c r="E49" i="3"/>
  <c r="D49" i="3"/>
  <c r="C49" i="3"/>
  <c r="H49" i="3" s="1"/>
  <c r="B49" i="3"/>
  <c r="A49" i="3"/>
  <c r="L48" i="3"/>
  <c r="J48" i="3"/>
  <c r="I48" i="3"/>
  <c r="H48" i="3"/>
  <c r="M48" i="3" s="1"/>
  <c r="G48" i="3"/>
  <c r="F48" i="3"/>
  <c r="E48" i="3"/>
  <c r="D48" i="3"/>
  <c r="C48" i="3"/>
  <c r="B48" i="3"/>
  <c r="A48" i="3"/>
  <c r="L47" i="3"/>
  <c r="J47" i="3"/>
  <c r="I47" i="3"/>
  <c r="G47" i="3"/>
  <c r="F47" i="3"/>
  <c r="E47" i="3"/>
  <c r="D47" i="3"/>
  <c r="C47" i="3"/>
  <c r="H47" i="3" s="1"/>
  <c r="B47" i="3"/>
  <c r="A47" i="3"/>
  <c r="L46" i="3"/>
  <c r="J46" i="3"/>
  <c r="I46" i="3"/>
  <c r="G46" i="3"/>
  <c r="F46" i="3"/>
  <c r="E46" i="3"/>
  <c r="D46" i="3"/>
  <c r="C46" i="3"/>
  <c r="H46" i="3" s="1"/>
  <c r="B46" i="3"/>
  <c r="A46" i="3"/>
  <c r="L45" i="3"/>
  <c r="J45" i="3"/>
  <c r="I45" i="3"/>
  <c r="G45" i="3"/>
  <c r="F45" i="3"/>
  <c r="E45" i="3"/>
  <c r="D45" i="3"/>
  <c r="C45" i="3"/>
  <c r="H45" i="3" s="1"/>
  <c r="B45" i="3"/>
  <c r="A45" i="3"/>
  <c r="L44" i="3"/>
  <c r="J44" i="3"/>
  <c r="I44" i="3"/>
  <c r="G44" i="3"/>
  <c r="F44" i="3"/>
  <c r="E44" i="3"/>
  <c r="D44" i="3"/>
  <c r="C44" i="3"/>
  <c r="H44" i="3" s="1"/>
  <c r="B44" i="3"/>
  <c r="A44" i="3"/>
  <c r="L43" i="3"/>
  <c r="J43" i="3"/>
  <c r="I43" i="3"/>
  <c r="G43" i="3"/>
  <c r="H43" i="3" s="1"/>
  <c r="F43" i="3"/>
  <c r="E43" i="3"/>
  <c r="D43" i="3"/>
  <c r="C43" i="3"/>
  <c r="B43" i="3"/>
  <c r="A43" i="3"/>
  <c r="L42" i="3"/>
  <c r="J42" i="3"/>
  <c r="I42" i="3"/>
  <c r="H42" i="3"/>
  <c r="M42" i="3" s="1"/>
  <c r="G42" i="3"/>
  <c r="F42" i="3"/>
  <c r="E42" i="3"/>
  <c r="D42" i="3"/>
  <c r="C42" i="3"/>
  <c r="B42" i="3"/>
  <c r="A42" i="3"/>
  <c r="L41" i="3"/>
  <c r="J41" i="3"/>
  <c r="I41" i="3"/>
  <c r="G41" i="3"/>
  <c r="F41" i="3"/>
  <c r="E41" i="3"/>
  <c r="D41" i="3"/>
  <c r="C41" i="3"/>
  <c r="H41" i="3" s="1"/>
  <c r="B41" i="3"/>
  <c r="A41" i="3"/>
  <c r="L40" i="3"/>
  <c r="J40" i="3"/>
  <c r="I40" i="3"/>
  <c r="G40" i="3"/>
  <c r="F40" i="3"/>
  <c r="E40" i="3"/>
  <c r="D40" i="3"/>
  <c r="H40" i="3" s="1"/>
  <c r="C40" i="3"/>
  <c r="B40" i="3"/>
  <c r="A40" i="3"/>
  <c r="L39" i="3"/>
  <c r="J39" i="3"/>
  <c r="I39" i="3"/>
  <c r="G39" i="3"/>
  <c r="F39" i="3"/>
  <c r="E39" i="3"/>
  <c r="D39" i="3"/>
  <c r="C39" i="3"/>
  <c r="H39" i="3" s="1"/>
  <c r="B39" i="3"/>
  <c r="A39" i="3"/>
  <c r="L38" i="3"/>
  <c r="J38" i="3"/>
  <c r="I38" i="3"/>
  <c r="G38" i="3"/>
  <c r="F38" i="3"/>
  <c r="E38" i="3"/>
  <c r="D38" i="3"/>
  <c r="C38" i="3"/>
  <c r="H38" i="3" s="1"/>
  <c r="B38" i="3"/>
  <c r="A38" i="3"/>
  <c r="L37" i="3"/>
  <c r="J37" i="3"/>
  <c r="I37" i="3"/>
  <c r="G37" i="3"/>
  <c r="F37" i="3"/>
  <c r="E37" i="3"/>
  <c r="D37" i="3"/>
  <c r="C37" i="3"/>
  <c r="H37" i="3" s="1"/>
  <c r="B37" i="3"/>
  <c r="A37" i="3"/>
  <c r="L36" i="3"/>
  <c r="J36" i="3"/>
  <c r="I36" i="3"/>
  <c r="H36" i="3"/>
  <c r="M36" i="3" s="1"/>
  <c r="G36" i="3"/>
  <c r="F36" i="3"/>
  <c r="E36" i="3"/>
  <c r="D36" i="3"/>
  <c r="C36" i="3"/>
  <c r="B36" i="3"/>
  <c r="A36" i="3"/>
  <c r="L35" i="3"/>
  <c r="J35" i="3"/>
  <c r="I35" i="3"/>
  <c r="G35" i="3"/>
  <c r="F35" i="3"/>
  <c r="E35" i="3"/>
  <c r="D35" i="3"/>
  <c r="C35" i="3"/>
  <c r="H35" i="3" s="1"/>
  <c r="B35" i="3"/>
  <c r="A35" i="3"/>
  <c r="L34" i="3"/>
  <c r="J34" i="3"/>
  <c r="I34" i="3"/>
  <c r="G34" i="3"/>
  <c r="F34" i="3"/>
  <c r="E34" i="3"/>
  <c r="D34" i="3"/>
  <c r="C34" i="3"/>
  <c r="H34" i="3" s="1"/>
  <c r="B34" i="3"/>
  <c r="A34" i="3"/>
  <c r="L33" i="3"/>
  <c r="J33" i="3"/>
  <c r="I33" i="3"/>
  <c r="G33" i="3"/>
  <c r="F33" i="3"/>
  <c r="E33" i="3"/>
  <c r="D33" i="3"/>
  <c r="C33" i="3"/>
  <c r="H33" i="3" s="1"/>
  <c r="B33" i="3"/>
  <c r="A33" i="3"/>
  <c r="L32" i="3"/>
  <c r="J32" i="3"/>
  <c r="I32" i="3"/>
  <c r="G32" i="3"/>
  <c r="F32" i="3"/>
  <c r="E32" i="3"/>
  <c r="D32" i="3"/>
  <c r="C32" i="3"/>
  <c r="H32" i="3" s="1"/>
  <c r="B32" i="3"/>
  <c r="A32" i="3"/>
  <c r="L31" i="3"/>
  <c r="J31" i="3"/>
  <c r="I31" i="3"/>
  <c r="G31" i="3"/>
  <c r="H31" i="3" s="1"/>
  <c r="F31" i="3"/>
  <c r="E31" i="3"/>
  <c r="D31" i="3"/>
  <c r="C31" i="3"/>
  <c r="B31" i="3"/>
  <c r="A31" i="3"/>
  <c r="L30" i="3"/>
  <c r="J30" i="3"/>
  <c r="I30" i="3"/>
  <c r="H30" i="3"/>
  <c r="M30" i="3" s="1"/>
  <c r="G30" i="3"/>
  <c r="F30" i="3"/>
  <c r="E30" i="3"/>
  <c r="D30" i="3"/>
  <c r="C30" i="3"/>
  <c r="B30" i="3"/>
  <c r="A30" i="3"/>
  <c r="L29" i="3"/>
  <c r="J29" i="3"/>
  <c r="I29" i="3"/>
  <c r="G29" i="3"/>
  <c r="F29" i="3"/>
  <c r="E29" i="3"/>
  <c r="D29" i="3"/>
  <c r="C29" i="3"/>
  <c r="H29" i="3" s="1"/>
  <c r="B29" i="3"/>
  <c r="A29" i="3"/>
  <c r="L28" i="3"/>
  <c r="J28" i="3"/>
  <c r="I28" i="3"/>
  <c r="G28" i="3"/>
  <c r="F28" i="3"/>
  <c r="E28" i="3"/>
  <c r="D28" i="3"/>
  <c r="H28" i="3" s="1"/>
  <c r="C28" i="3"/>
  <c r="B28" i="3"/>
  <c r="A28" i="3"/>
  <c r="L27" i="3"/>
  <c r="J27" i="3"/>
  <c r="I27" i="3"/>
  <c r="G27" i="3"/>
  <c r="F27" i="3"/>
  <c r="E27" i="3"/>
  <c r="D27" i="3"/>
  <c r="C27" i="3"/>
  <c r="H27" i="3" s="1"/>
  <c r="B27" i="3"/>
  <c r="A27" i="3"/>
  <c r="L26" i="3"/>
  <c r="J26" i="3"/>
  <c r="I26" i="3"/>
  <c r="G26" i="3"/>
  <c r="F26" i="3"/>
  <c r="E26" i="3"/>
  <c r="D26" i="3"/>
  <c r="C26" i="3"/>
  <c r="H26" i="3" s="1"/>
  <c r="B26" i="3"/>
  <c r="A26" i="3"/>
  <c r="L25" i="3"/>
  <c r="J25" i="3"/>
  <c r="I25" i="3"/>
  <c r="G25" i="3"/>
  <c r="F25" i="3"/>
  <c r="E25" i="3"/>
  <c r="D25" i="3"/>
  <c r="C25" i="3"/>
  <c r="H25" i="3" s="1"/>
  <c r="B25" i="3"/>
  <c r="A25" i="3"/>
  <c r="L24" i="3"/>
  <c r="J24" i="3"/>
  <c r="I24" i="3"/>
  <c r="H24" i="3"/>
  <c r="M24" i="3" s="1"/>
  <c r="G24" i="3"/>
  <c r="F24" i="3"/>
  <c r="E24" i="3"/>
  <c r="D24" i="3"/>
  <c r="C24" i="3"/>
  <c r="B24" i="3"/>
  <c r="A24" i="3"/>
  <c r="L23" i="3"/>
  <c r="J23" i="3"/>
  <c r="I23" i="3"/>
  <c r="G23" i="3"/>
  <c r="F23" i="3"/>
  <c r="E23" i="3"/>
  <c r="D23" i="3"/>
  <c r="C23" i="3"/>
  <c r="H23" i="3" s="1"/>
  <c r="B23" i="3"/>
  <c r="A23" i="3"/>
  <c r="L22" i="3"/>
  <c r="J22" i="3"/>
  <c r="I22" i="3"/>
  <c r="G22" i="3"/>
  <c r="F22" i="3"/>
  <c r="E22" i="3"/>
  <c r="D22" i="3"/>
  <c r="C22" i="3"/>
  <c r="H22" i="3" s="1"/>
  <c r="B22" i="3"/>
  <c r="A22" i="3"/>
  <c r="L21" i="3"/>
  <c r="J21" i="3"/>
  <c r="I21" i="3"/>
  <c r="G21" i="3"/>
  <c r="F21" i="3"/>
  <c r="E21" i="3"/>
  <c r="D21" i="3"/>
  <c r="C21" i="3"/>
  <c r="H21" i="3" s="1"/>
  <c r="B21" i="3"/>
  <c r="A21" i="3"/>
  <c r="L20" i="3"/>
  <c r="J20" i="3"/>
  <c r="I20" i="3"/>
  <c r="G20" i="3"/>
  <c r="F20" i="3"/>
  <c r="E20" i="3"/>
  <c r="D20" i="3"/>
  <c r="H20" i="3" s="1"/>
  <c r="C20" i="3"/>
  <c r="B20" i="3"/>
  <c r="A20" i="3"/>
  <c r="L19" i="3"/>
  <c r="J19" i="3"/>
  <c r="I19" i="3"/>
  <c r="G19" i="3"/>
  <c r="H19" i="3" s="1"/>
  <c r="F19" i="3"/>
  <c r="E19" i="3"/>
  <c r="D19" i="3"/>
  <c r="C19" i="3"/>
  <c r="B19" i="3"/>
  <c r="A19" i="3"/>
  <c r="L18" i="3"/>
  <c r="J18" i="3"/>
  <c r="I18" i="3"/>
  <c r="H18" i="3"/>
  <c r="M18" i="3" s="1"/>
  <c r="G18" i="3"/>
  <c r="F18" i="3"/>
  <c r="E18" i="3"/>
  <c r="D18" i="3"/>
  <c r="C18" i="3"/>
  <c r="B18" i="3"/>
  <c r="A18" i="3"/>
  <c r="L17" i="3"/>
  <c r="J17" i="3"/>
  <c r="I17" i="3"/>
  <c r="G17" i="3"/>
  <c r="F17" i="3"/>
  <c r="E17" i="3"/>
  <c r="D17" i="3"/>
  <c r="C17" i="3"/>
  <c r="H17" i="3" s="1"/>
  <c r="B17" i="3"/>
  <c r="A17" i="3"/>
  <c r="L16" i="3"/>
  <c r="J16" i="3"/>
  <c r="I16" i="3"/>
  <c r="G16" i="3"/>
  <c r="F16" i="3"/>
  <c r="E16" i="3"/>
  <c r="D16" i="3"/>
  <c r="H16" i="3" s="1"/>
  <c r="C16" i="3"/>
  <c r="B16" i="3"/>
  <c r="A16" i="3"/>
  <c r="L15" i="3"/>
  <c r="J15" i="3"/>
  <c r="I15" i="3"/>
  <c r="G15" i="3"/>
  <c r="F15" i="3"/>
  <c r="E15" i="3"/>
  <c r="D15" i="3"/>
  <c r="C15" i="3"/>
  <c r="H15" i="3" s="1"/>
  <c r="B15" i="3"/>
  <c r="A15" i="3"/>
  <c r="L14" i="3"/>
  <c r="J14" i="3"/>
  <c r="I14" i="3"/>
  <c r="G14" i="3"/>
  <c r="F14" i="3"/>
  <c r="E14" i="3"/>
  <c r="D14" i="3"/>
  <c r="C14" i="3"/>
  <c r="H14" i="3" s="1"/>
  <c r="B14" i="3"/>
  <c r="A14" i="3"/>
  <c r="L13" i="3"/>
  <c r="J13" i="3"/>
  <c r="I13" i="3"/>
  <c r="G13" i="3"/>
  <c r="H13" i="3" s="1"/>
  <c r="F13" i="3"/>
  <c r="E13" i="3"/>
  <c r="D13" i="3"/>
  <c r="C13" i="3"/>
  <c r="B13" i="3"/>
  <c r="A13" i="3"/>
  <c r="L12" i="3"/>
  <c r="J12" i="3"/>
  <c r="I12" i="3"/>
  <c r="G12" i="3"/>
  <c r="F12" i="3"/>
  <c r="E12" i="3"/>
  <c r="D12" i="3"/>
  <c r="C12" i="3"/>
  <c r="H12" i="3" s="1"/>
  <c r="B12" i="3"/>
  <c r="A12" i="3"/>
  <c r="L11" i="3"/>
  <c r="J11" i="3"/>
  <c r="I11" i="3"/>
  <c r="G11" i="3"/>
  <c r="F11" i="3"/>
  <c r="E11" i="3"/>
  <c r="D11" i="3"/>
  <c r="C11" i="3"/>
  <c r="H11" i="3" s="1"/>
  <c r="B11" i="3"/>
  <c r="A11" i="3"/>
  <c r="L10" i="3"/>
  <c r="J10" i="3"/>
  <c r="I10" i="3"/>
  <c r="G10" i="3"/>
  <c r="F10" i="3"/>
  <c r="E10" i="3"/>
  <c r="D10" i="3"/>
  <c r="C10" i="3"/>
  <c r="H10" i="3" s="1"/>
  <c r="B10" i="3"/>
  <c r="A10" i="3"/>
  <c r="L9" i="3"/>
  <c r="J9" i="3"/>
  <c r="I9" i="3"/>
  <c r="G9" i="3"/>
  <c r="F9" i="3"/>
  <c r="E9" i="3"/>
  <c r="D9" i="3"/>
  <c r="C9" i="3"/>
  <c r="H9" i="3" s="1"/>
  <c r="B9" i="3"/>
  <c r="A9" i="3"/>
  <c r="L8" i="3"/>
  <c r="J8" i="3"/>
  <c r="I8" i="3"/>
  <c r="G8" i="3"/>
  <c r="F8" i="3"/>
  <c r="E8" i="3"/>
  <c r="D8" i="3"/>
  <c r="C8" i="3"/>
  <c r="H8" i="3" s="1"/>
  <c r="B8" i="3"/>
  <c r="A8" i="3"/>
  <c r="L7" i="3"/>
  <c r="J7" i="3"/>
  <c r="I7" i="3"/>
  <c r="G7" i="3"/>
  <c r="H7" i="3" s="1"/>
  <c r="F7" i="3"/>
  <c r="E7" i="3"/>
  <c r="D7" i="3"/>
  <c r="C7" i="3"/>
  <c r="B7" i="3"/>
  <c r="A7" i="3"/>
  <c r="L6" i="3"/>
  <c r="J6" i="3"/>
  <c r="I6" i="3"/>
  <c r="H6" i="3"/>
  <c r="M6" i="3" s="1"/>
  <c r="G6" i="3"/>
  <c r="F6" i="3"/>
  <c r="E6" i="3"/>
  <c r="D6" i="3"/>
  <c r="C6" i="3"/>
  <c r="B6" i="3"/>
  <c r="A6" i="3"/>
  <c r="L5" i="3"/>
  <c r="J5" i="3"/>
  <c r="I5" i="3"/>
  <c r="G5" i="3"/>
  <c r="F5" i="3"/>
  <c r="E5" i="3"/>
  <c r="D5" i="3"/>
  <c r="C5" i="3"/>
  <c r="H5" i="3" s="1"/>
  <c r="B5" i="3"/>
  <c r="A5" i="3"/>
  <c r="L4" i="3"/>
  <c r="J4" i="3"/>
  <c r="I4" i="3"/>
  <c r="G4" i="3"/>
  <c r="F4" i="3"/>
  <c r="E4" i="3"/>
  <c r="D4" i="3"/>
  <c r="H4" i="3" s="1"/>
  <c r="C4" i="3"/>
  <c r="B4" i="3"/>
  <c r="A4" i="3"/>
  <c r="L3" i="3"/>
  <c r="J3" i="3"/>
  <c r="I3" i="3"/>
  <c r="G3" i="3"/>
  <c r="F3" i="3"/>
  <c r="E3" i="3"/>
  <c r="D3" i="3"/>
  <c r="C3" i="3"/>
  <c r="H3" i="3" s="1"/>
  <c r="B3" i="3"/>
  <c r="A3" i="3"/>
  <c r="L2" i="3"/>
  <c r="J2" i="3"/>
  <c r="I2" i="3"/>
  <c r="G2" i="3"/>
  <c r="B8" i="7" s="1"/>
  <c r="F2" i="3"/>
  <c r="E2" i="3"/>
  <c r="D2" i="3"/>
  <c r="C2" i="3"/>
  <c r="H2" i="3" s="1"/>
  <c r="B2" i="3"/>
  <c r="E8" i="4" s="1"/>
  <c r="A2" i="3"/>
  <c r="M47" i="3" l="1"/>
  <c r="K47" i="3"/>
  <c r="M4" i="3"/>
  <c r="K4" i="3"/>
  <c r="M10" i="3"/>
  <c r="K10" i="3"/>
  <c r="M29" i="3"/>
  <c r="K29" i="3"/>
  <c r="M49" i="3"/>
  <c r="K49" i="3"/>
  <c r="M62" i="3"/>
  <c r="K62" i="3"/>
  <c r="M75" i="3"/>
  <c r="K75" i="3"/>
  <c r="M101" i="3"/>
  <c r="K101" i="3"/>
  <c r="M16" i="3"/>
  <c r="K16" i="3"/>
  <c r="M35" i="3"/>
  <c r="K35" i="3"/>
  <c r="K68" i="3"/>
  <c r="M68" i="3"/>
  <c r="K81" i="3"/>
  <c r="M81" i="3"/>
  <c r="K88" i="3"/>
  <c r="M88" i="3"/>
  <c r="M94" i="3"/>
  <c r="K94" i="3"/>
  <c r="K9" i="3"/>
  <c r="M9" i="3"/>
  <c r="D4" i="4"/>
  <c r="M15" i="3"/>
  <c r="K15" i="3"/>
  <c r="M41" i="3"/>
  <c r="K41" i="3"/>
  <c r="M61" i="3"/>
  <c r="K61" i="3"/>
  <c r="M74" i="3"/>
  <c r="K74" i="3"/>
  <c r="M87" i="3"/>
  <c r="K87" i="3"/>
  <c r="K8" i="3"/>
  <c r="M8" i="3"/>
  <c r="M53" i="3"/>
  <c r="K53" i="3"/>
  <c r="M86" i="3"/>
  <c r="K86" i="3"/>
  <c r="M99" i="3"/>
  <c r="K99" i="3"/>
  <c r="M3" i="3"/>
  <c r="K3" i="3"/>
  <c r="M2" i="3"/>
  <c r="K2" i="3"/>
  <c r="M34" i="3"/>
  <c r="K34" i="3"/>
  <c r="M14" i="3"/>
  <c r="K14" i="3"/>
  <c r="M27" i="3"/>
  <c r="K27" i="3"/>
  <c r="M73" i="3"/>
  <c r="K73" i="3"/>
  <c r="K33" i="3"/>
  <c r="M33" i="3"/>
  <c r="M40" i="3"/>
  <c r="K40" i="3"/>
  <c r="M46" i="3"/>
  <c r="K46" i="3"/>
  <c r="K55" i="3"/>
  <c r="M55" i="3"/>
  <c r="M59" i="3"/>
  <c r="K59" i="3"/>
  <c r="K92" i="3"/>
  <c r="M92" i="3"/>
  <c r="M22" i="3"/>
  <c r="K22" i="3"/>
  <c r="K80" i="3"/>
  <c r="M80" i="3"/>
  <c r="K20" i="3"/>
  <c r="M20" i="3"/>
  <c r="M26" i="3"/>
  <c r="K26" i="3"/>
  <c r="M39" i="3"/>
  <c r="K39" i="3"/>
  <c r="M65" i="3"/>
  <c r="K65" i="3"/>
  <c r="M85" i="3"/>
  <c r="K85" i="3"/>
  <c r="M98" i="3"/>
  <c r="K98" i="3"/>
  <c r="K100" i="3"/>
  <c r="M100" i="3"/>
  <c r="K32" i="3"/>
  <c r="M32" i="3"/>
  <c r="K45" i="3"/>
  <c r="M45" i="3"/>
  <c r="M52" i="3"/>
  <c r="K52" i="3"/>
  <c r="M58" i="3"/>
  <c r="K58" i="3"/>
  <c r="K67" i="3"/>
  <c r="M67" i="3"/>
  <c r="M71" i="3"/>
  <c r="K71" i="3"/>
  <c r="K93" i="3"/>
  <c r="M93" i="3"/>
  <c r="M12" i="3"/>
  <c r="K12" i="3"/>
  <c r="M25" i="3"/>
  <c r="G5" i="4" s="1"/>
  <c r="K25" i="3"/>
  <c r="M38" i="3"/>
  <c r="K38" i="3"/>
  <c r="M51" i="3"/>
  <c r="K51" i="3"/>
  <c r="M77" i="3"/>
  <c r="K77" i="3"/>
  <c r="M97" i="3"/>
  <c r="K97" i="3"/>
  <c r="K44" i="3"/>
  <c r="M44" i="3"/>
  <c r="K57" i="3"/>
  <c r="M57" i="3"/>
  <c r="K64" i="3"/>
  <c r="M64" i="3"/>
  <c r="M70" i="3"/>
  <c r="K70" i="3"/>
  <c r="K79" i="3"/>
  <c r="M79" i="3"/>
  <c r="M83" i="3"/>
  <c r="K83" i="3"/>
  <c r="K31" i="3"/>
  <c r="M31" i="3"/>
  <c r="K28" i="3"/>
  <c r="M28" i="3"/>
  <c r="K43" i="3"/>
  <c r="M43" i="3"/>
  <c r="M7" i="3"/>
  <c r="K7" i="3"/>
  <c r="D3" i="4"/>
  <c r="M11" i="3"/>
  <c r="K11" i="3"/>
  <c r="M13" i="3"/>
  <c r="K13" i="3"/>
  <c r="M17" i="3"/>
  <c r="K17" i="3"/>
  <c r="M37" i="3"/>
  <c r="K37" i="3"/>
  <c r="M50" i="3"/>
  <c r="K50" i="3"/>
  <c r="K63" i="3"/>
  <c r="M63" i="3"/>
  <c r="M89" i="3"/>
  <c r="K89" i="3"/>
  <c r="K21" i="3"/>
  <c r="M21" i="3"/>
  <c r="M5" i="3"/>
  <c r="K5" i="3"/>
  <c r="K19" i="3"/>
  <c r="M19" i="3"/>
  <c r="M23" i="3"/>
  <c r="K23" i="3"/>
  <c r="K56" i="3"/>
  <c r="M56" i="3"/>
  <c r="K69" i="3"/>
  <c r="M69" i="3"/>
  <c r="K76" i="3"/>
  <c r="M76" i="3"/>
  <c r="M82" i="3"/>
  <c r="K82" i="3"/>
  <c r="K91" i="3"/>
  <c r="M91" i="3"/>
  <c r="M95" i="3"/>
  <c r="K95" i="3"/>
  <c r="E3" i="4"/>
  <c r="C5" i="4"/>
  <c r="F8" i="4"/>
  <c r="F3" i="4"/>
  <c r="D5" i="4"/>
  <c r="K24" i="3"/>
  <c r="K36" i="3"/>
  <c r="K48" i="3"/>
  <c r="K60" i="3"/>
  <c r="K72" i="3"/>
  <c r="K84" i="3"/>
  <c r="K96" i="3"/>
  <c r="E5" i="4"/>
  <c r="C7" i="4"/>
  <c r="F5" i="4"/>
  <c r="D7" i="4"/>
  <c r="E7" i="4"/>
  <c r="F7" i="4"/>
  <c r="E4" i="4"/>
  <c r="C6" i="4"/>
  <c r="K6" i="3"/>
  <c r="K18" i="3"/>
  <c r="K30" i="3"/>
  <c r="K42" i="3"/>
  <c r="K54" i="3"/>
  <c r="K66" i="3"/>
  <c r="K78" i="3"/>
  <c r="K90" i="3"/>
  <c r="F4" i="4"/>
  <c r="D6" i="4"/>
  <c r="E6" i="4"/>
  <c r="C8" i="4"/>
  <c r="C3" i="4"/>
  <c r="F6" i="4"/>
  <c r="D8" i="4"/>
  <c r="G3" i="4" l="1"/>
  <c r="G6" i="4"/>
  <c r="H6" i="4" s="1"/>
  <c r="G8" i="4"/>
  <c r="G7" i="4"/>
  <c r="H7" i="4" s="1"/>
  <c r="G4" i="4"/>
  <c r="H4" i="4" s="1"/>
  <c r="C9" i="4"/>
  <c r="G9" i="4"/>
  <c r="I3" i="4" s="1"/>
  <c r="H3" i="4"/>
  <c r="I8" i="4"/>
  <c r="H8" i="4"/>
  <c r="I7" i="4"/>
  <c r="H5" i="4"/>
  <c r="F9" i="4"/>
  <c r="D9" i="4"/>
  <c r="E9" i="4"/>
  <c r="H5" i="7"/>
  <c r="F5" i="7"/>
  <c r="H8" i="7" l="1"/>
  <c r="I6" i="4"/>
  <c r="I4" i="4"/>
  <c r="I9" i="4" s="1"/>
  <c r="I5" i="4"/>
  <c r="H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avanindra singh</author>
  </authors>
  <commentList>
    <comment ref="G9" authorId="0" shapeId="0" xr:uid="{895DF696-CAE8-475F-8885-1C7C75AD8C28}">
      <text>
        <r>
          <rPr>
            <b/>
            <sz val="9"/>
            <color indexed="81"/>
            <rFont val="Tahoma"/>
            <family val="2"/>
          </rPr>
          <t>Interpritation:</t>
        </r>
        <r>
          <rPr>
            <sz val="9"/>
            <color indexed="81"/>
            <rFont val="Tahoma"/>
            <family val="2"/>
          </rPr>
          <t xml:space="preserve">
"Overall, actual employer cost was ₹86.71 lakh against a budget of ₹86.69 lakh, resulting in a very small unfavourable variance of ₹1,730, or approximately 0.02%. The largest unfavourable variance was in Sales at 3.9%, while Operations showed the largest favourable variance at 3.2%."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67899E-29C4-4687-A700-D3EE724CD78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567867A-3691-4E1F-82ED-0A6E2ED82155}" name="WorksheetConnection_Adtric_Payroll_Employee_Cost_Analysis_Model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Adtric_Payroll_Employee_Cost_Analysis_Model.xlsxTable11"/>
        </x15:connection>
      </ext>
    </extLst>
  </connection>
</connections>
</file>

<file path=xl/sharedStrings.xml><?xml version="1.0" encoding="utf-8"?>
<sst xmlns="http://schemas.openxmlformats.org/spreadsheetml/2006/main" count="512" uniqueCount="200">
  <si>
    <t>PAYROLL &amp; EMPLOYEE COST ANALYSIS MODEL</t>
  </si>
  <si>
    <t>Purpose</t>
  </si>
  <si>
    <t>Finance-focused model for payroll, employee-cost analysis, budgeting and workforce scenarios.</t>
  </si>
  <si>
    <t>Data</t>
  </si>
  <si>
    <t>100 simulated/fabricated employee records for academic and confidentiality purposes.</t>
  </si>
  <si>
    <t>Confidentiality</t>
  </si>
  <si>
    <t>No actual employee-level company payroll data is used.</t>
  </si>
  <si>
    <t>Tools</t>
  </si>
  <si>
    <t>Microsoft Excel formulas, departmental analysis, variance analysis, scenario analysis and dashboard.</t>
  </si>
  <si>
    <t>Workbook flow</t>
  </si>
  <si>
    <t>Employee_Data → Payroll_Calculation → Department_Cost_Analysis → Budget_vs_Actual → Scenario_Analysis → Dashboard → Management_Insights</t>
  </si>
  <si>
    <t>Employee ID</t>
  </si>
  <si>
    <t>Department</t>
  </si>
  <si>
    <t>Designation</t>
  </si>
  <si>
    <t>Location</t>
  </si>
  <si>
    <t>Basic Salary</t>
  </si>
  <si>
    <t>HRA</t>
  </si>
  <si>
    <t>Allowances</t>
  </si>
  <si>
    <t>Incentive</t>
  </si>
  <si>
    <t>Overtime</t>
  </si>
  <si>
    <t>Employee PF</t>
  </si>
  <si>
    <t>Tax</t>
  </si>
  <si>
    <t>Employer Contribution</t>
  </si>
  <si>
    <t>Gross Salary</t>
  </si>
  <si>
    <t>Net Salary</t>
  </si>
  <si>
    <t>Employer Cost</t>
  </si>
  <si>
    <t>EMP1001</t>
  </si>
  <si>
    <t>HR</t>
  </si>
  <si>
    <t>HR Executive</t>
  </si>
  <si>
    <t>Gurugram</t>
  </si>
  <si>
    <t>EMP1002</t>
  </si>
  <si>
    <t>Technology</t>
  </si>
  <si>
    <t>Data Analyst</t>
  </si>
  <si>
    <t>Delhi</t>
  </si>
  <si>
    <t>EMP1003</t>
  </si>
  <si>
    <t>Operations</t>
  </si>
  <si>
    <t>Operations Analyst</t>
  </si>
  <si>
    <t>EMP1004</t>
  </si>
  <si>
    <t>Sales</t>
  </si>
  <si>
    <t>Business Development Executive</t>
  </si>
  <si>
    <t>EMP1005</t>
  </si>
  <si>
    <t>Marketing</t>
  </si>
  <si>
    <t>Marketing Executive</t>
  </si>
  <si>
    <t>EMP1006</t>
  </si>
  <si>
    <t>EMP1007</t>
  </si>
  <si>
    <t>EMP1008</t>
  </si>
  <si>
    <t>Software Developer</t>
  </si>
  <si>
    <t>EMP1009</t>
  </si>
  <si>
    <t>EMP1010</t>
  </si>
  <si>
    <t>Operations Executive</t>
  </si>
  <si>
    <t>EMP1011</t>
  </si>
  <si>
    <t>EMP1012</t>
  </si>
  <si>
    <t>Technology Manager</t>
  </si>
  <si>
    <t>EMP1013</t>
  </si>
  <si>
    <t>Noida</t>
  </si>
  <si>
    <t>EMP1014</t>
  </si>
  <si>
    <t>Finance</t>
  </si>
  <si>
    <t>Finance Manager</t>
  </si>
  <si>
    <t>EMP1015</t>
  </si>
  <si>
    <t>Digital Marketing Analyst</t>
  </si>
  <si>
    <t>EMP1016</t>
  </si>
  <si>
    <t>EMP1017</t>
  </si>
  <si>
    <t>Finance Executive</t>
  </si>
  <si>
    <t>EMP1018</t>
  </si>
  <si>
    <t>Sales Executive</t>
  </si>
  <si>
    <t>EMP1019</t>
  </si>
  <si>
    <t>Sales Manager</t>
  </si>
  <si>
    <t>EMP1020</t>
  </si>
  <si>
    <t>EMP1021</t>
  </si>
  <si>
    <t>EMP1022</t>
  </si>
  <si>
    <t>EMP1023</t>
  </si>
  <si>
    <t>EMP1024</t>
  </si>
  <si>
    <t>HR Analyst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</si>
  <si>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</si>
  <si>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</si>
  <si>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</si>
  <si>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</si>
  <si>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</si>
  <si>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</si>
  <si>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</si>
  <si>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</si>
  <si>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</si>
  <si>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</si>
  <si>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</si>
  <si>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</si>
  <si>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</si>
  <si>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Financial Analyst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</si>
  <si>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</si>
  <si>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</si>
  <si>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</si>
  <si>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</si>
  <si>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</si>
  <si>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</si>
  <si>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</si>
  <si>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</si>
  <si>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</si>
  <si>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</si>
  <si>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</si>
  <si>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</si>
  <si>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</si>
  <si>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</si>
  <si>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</si>
  <si>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</si>
  <si>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</si>
  <si>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</si>
  <si>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</si>
  <si>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</si>
  <si>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Marketing Manager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</si>
  <si>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</si>
  <si>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</si>
  <si>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</si>
  <si>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</si>
  <si>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</si>
  <si>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</si>
  <si>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</si>
  <si>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</si>
  <si>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</si>
  <si>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</si>
  <si>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</si>
  <si>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</si>
  <si>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</si>
  <si>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</si>
  <si>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</si>
  <si>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</si>
  <si>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</si>
  <si>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</si>
  <si>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</si>
  <si>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</si>
  <si>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</si>
  <si>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</si>
  <si>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</si>
  <si>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</si>
  <si>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</si>
  <si>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</si>
  <si>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</si>
  <si>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</si>
  <si>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</si>
  <si>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</si>
  <si>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Operations Manager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</si>
  <si>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</si>
  <si>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</si>
  <si>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</si>
  <si>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</si>
  <si>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</si>
  <si>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</si>
  <si>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</si>
  <si>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</si>
  <si>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</si>
  <si>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</si>
  <si>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</si>
  <si>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</si>
  <si>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</si>
  <si>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Headcount</t>
  </si>
  <si>
    <t>Incentives</t>
  </si>
  <si>
    <t>Cost / Employee</t>
  </si>
  <si>
    <t>% Total Cost</t>
  </si>
  <si>
    <t>TOTAL</t>
  </si>
  <si>
    <t>Budgeted Employer Cost</t>
  </si>
  <si>
    <t>Actual Employer Cost</t>
  </si>
  <si>
    <t>Variance</t>
  </si>
  <si>
    <t>Variance %</t>
  </si>
  <si>
    <t>Status</t>
  </si>
  <si>
    <t>Scenario</t>
  </si>
  <si>
    <t>Assumption</t>
  </si>
  <si>
    <t>Monthly Employer Cost</t>
  </si>
  <si>
    <t>Monthly Impact</t>
  </si>
  <si>
    <t>Annual Employer Cost</t>
  </si>
  <si>
    <t>Annual Impact</t>
  </si>
  <si>
    <t>Hiring +10</t>
  </si>
  <si>
    <t>10 additional hires at current average employer cost</t>
  </si>
  <si>
    <t>Salary Revision +8%</t>
  </si>
  <si>
    <t>8% increase in salary-linked components</t>
  </si>
  <si>
    <t>Overtime -20%</t>
  </si>
  <si>
    <t>20% reduction in overtime cost</t>
  </si>
  <si>
    <t>PAYROLL &amp; EMPLOYEE COST DASHBOARD</t>
  </si>
  <si>
    <t>Total Employees</t>
  </si>
  <si>
    <t>Departments</t>
  </si>
  <si>
    <t>Average Cost / Employee</t>
  </si>
  <si>
    <t>Overtime Cost</t>
  </si>
  <si>
    <t>Incentive Cost</t>
  </si>
  <si>
    <t>Highest-Cost Department</t>
  </si>
  <si>
    <t>MANAGEMENT INSIGHTS</t>
  </si>
  <si>
    <t>1.</t>
  </si>
  <si>
    <t>Identify the department with the highest total employer cost and assess whether headcount or compensation mix is the main driver.</t>
  </si>
  <si>
    <t>2.</t>
  </si>
  <si>
    <t>Review Budget vs. Actual variances and investigate departments with unfavourable employee-cost variances.</t>
  </si>
  <si>
    <t>3.</t>
  </si>
  <si>
    <t>Use the hiring scenario to estimate incremental annual employee cost before adding new employees.</t>
  </si>
  <si>
    <t>4.</t>
  </si>
  <si>
    <t>Use the salary-revision scenario to quantify the financial effect of compensation changes.</t>
  </si>
  <si>
    <t>5.</t>
  </si>
  <si>
    <t>Use the overtime scenario to estimate potential savings from reducing overtime expenditure.</t>
  </si>
  <si>
    <t>6.</t>
  </si>
  <si>
    <t>Monitor cost per employee alongside headcount to distinguish workforce growth from compensation-driven cost increases.</t>
  </si>
  <si>
    <t xml:space="preserve"> </t>
  </si>
  <si>
    <t>Current Workforce</t>
  </si>
  <si>
    <t>Existing workforce</t>
  </si>
  <si>
    <t>Unfavourable</t>
  </si>
  <si>
    <t>Favourable</t>
  </si>
  <si>
    <t>Slightly Unfavourable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</si>
</sst>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\₹#,##0"/>
    <numFmt numFmtId="165" formatCode="0.0%"/>
  </numFmts>
  <fonts count="2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 tint="0.499984740745262"/>
      <name val="Calibri"/>
      <family val="2"/>
    </font>
    <font>
      <b/>
      <sz val="12"/>
      <color rgb="FFFFFFFF"/>
      <name val="Calibri"/>
      <family val="2"/>
    </font>
    <font>
      <b/>
      <sz val="12"/>
      <name val="Arial"/>
      <family val="2"/>
    </font>
    <font>
      <b/>
      <u val="singleAccounting"/>
      <sz val="12"/>
      <color theme="0" tint="-0.34998626667073579"/>
      <name val="Arial"/>
      <family val="2"/>
    </font>
    <font>
      <sz val="11"/>
      <name val="Calibri"/>
      <family val="2"/>
      <scheme val="minor"/>
    </font>
    <font>
      <sz val="12"/>
      <name val="Arial"/>
      <family val="2"/>
    </font>
    <font>
      <b/>
      <u/>
      <sz val="12"/>
      <color theme="0" tint="-0.34998626667073579"/>
      <name val="Arial"/>
      <family val="2"/>
    </font>
    <font>
      <b/>
      <u/>
      <sz val="11"/>
      <color theme="0" tint="-0.499984740745262"/>
      <name val="Calibri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gradientFill degree="180">
        <stop position="0">
          <color theme="0"/>
        </stop>
        <stop position="1">
          <color theme="4"/>
        </stop>
      </gradientFill>
    </fill>
    <fill>
      <patternFill patternType="solid">
        <fgColor theme="7" tint="0.79998168889431442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4"/>
        </stop>
      </gradient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55">
    <xf numFmtId="0" fontId="0" fillId="0" borderId="0" xfId="0"/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2" xfId="0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164" fontId="0" fillId="4" borderId="0" xfId="0" applyNumberFormat="1" applyFill="1" applyAlignment="1">
      <alignment horizontal="center" vertical="center" wrapText="1"/>
    </xf>
    <xf numFmtId="164" fontId="0" fillId="4" borderId="0" xfId="0" applyNumberFormat="1" applyFill="1" applyAlignment="1">
      <alignment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0" fillId="0" borderId="7" xfId="0" applyFill="1" applyBorder="1" applyAlignment="1">
      <alignment vertical="center" wrapText="1"/>
    </xf>
    <xf numFmtId="164" fontId="0" fillId="0" borderId="7" xfId="0" applyNumberFormat="1" applyFill="1" applyBorder="1" applyAlignment="1">
      <alignment vertical="center" wrapText="1"/>
    </xf>
    <xf numFmtId="164" fontId="0" fillId="0" borderId="7" xfId="0" applyNumberFormat="1" applyFill="1" applyBorder="1" applyAlignment="1">
      <alignment horizontal="right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164" fontId="5" fillId="0" borderId="10" xfId="0" applyNumberFormat="1" applyFont="1" applyBorder="1" applyAlignment="1">
      <alignment horizontal="center" vertical="center" wrapText="1"/>
    </xf>
    <xf numFmtId="165" fontId="5" fillId="0" borderId="10" xfId="0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164" fontId="13" fillId="0" borderId="10" xfId="0" applyNumberFormat="1" applyFont="1" applyBorder="1" applyAlignment="1">
      <alignment horizontal="center" vertical="center" wrapText="1"/>
    </xf>
    <xf numFmtId="165" fontId="13" fillId="0" borderId="10" xfId="0" applyNumberFormat="1" applyFont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164" fontId="16" fillId="0" borderId="7" xfId="0" applyNumberFormat="1" applyFont="1" applyBorder="1" applyAlignment="1">
      <alignment horizontal="center" vertical="center" wrapText="1"/>
    </xf>
    <xf numFmtId="165" fontId="16" fillId="0" borderId="7" xfId="0" applyNumberFormat="1" applyFont="1" applyBorder="1" applyAlignment="1">
      <alignment horizontal="center" vertical="center" wrapText="1"/>
    </xf>
    <xf numFmtId="0" fontId="17" fillId="8" borderId="0" xfId="0" applyFont="1" applyFill="1" applyBorder="1" applyAlignment="1">
      <alignment horizontal="center" vertical="center" wrapText="1"/>
    </xf>
    <xf numFmtId="0" fontId="15" fillId="9" borderId="11" xfId="0" applyFont="1" applyFill="1" applyBorder="1" applyAlignment="1">
      <alignment horizontal="center" vertical="center" wrapText="1"/>
    </xf>
    <xf numFmtId="164" fontId="15" fillId="9" borderId="11" xfId="0" applyNumberFormat="1" applyFont="1" applyFill="1" applyBorder="1" applyAlignment="1">
      <alignment horizontal="center" vertical="center" wrapText="1"/>
    </xf>
    <xf numFmtId="0" fontId="18" fillId="7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 wrapText="1"/>
    </xf>
    <xf numFmtId="0" fontId="12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8" fillId="5" borderId="0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43" fontId="3" fillId="4" borderId="0" xfId="1" applyFont="1" applyFill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43" fontId="3" fillId="4" borderId="0" xfId="1" applyFont="1" applyFill="1" applyAlignment="1">
      <alignment horizontal="right" vertical="center" wrapText="1" indent="3"/>
    </xf>
  </cellXfs>
  <cellStyles count="2">
    <cellStyle name="Comma" xfId="1" builtinId="3"/>
    <cellStyle name="Normal" xfId="0" builtinId="0"/>
  </cellStyles>
  <dxfs count="18">
    <dxf>
      <numFmt numFmtId="164" formatCode="\₹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\₹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₹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₹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₹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₹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₹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₹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₹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₹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₹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EAEAEA"/>
      <color rgb="FF9999FF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Employer Cost by Department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9262256004732232E-2"/>
          <c:y val="0.11623277672781852"/>
          <c:w val="0.77481405794806435"/>
          <c:h val="0.83049386727193131"/>
        </c:manualLayout>
      </c:layout>
      <c:bar3DChart>
        <c:barDir val="col"/>
        <c:grouping val="clustered"/>
        <c:varyColors val="1"/>
        <c:ser>
          <c:idx val="0"/>
          <c:order val="0"/>
          <c:tx>
            <c:strRef>
              <c:f>Department_Cost_Analysis!$G$2</c:f>
              <c:strCache>
                <c:ptCount val="1"/>
                <c:pt idx="0">
                  <c:v>Employer Cost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8FCD-4F64-94AF-4F6377F2F491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8FCD-4F64-94AF-4F6377F2F491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8FCD-4F64-94AF-4F6377F2F491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8FCD-4F64-94AF-4F6377F2F491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8FCD-4F64-94AF-4F6377F2F491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8FCD-4F64-94AF-4F6377F2F4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Department_Cost_Analysis!$B$3:$B$8</c:f>
              <c:strCache>
                <c:ptCount val="6"/>
                <c:pt idx="0">
                  <c:v>Marketing</c:v>
                </c:pt>
                <c:pt idx="1">
                  <c:v>Finance</c:v>
                </c:pt>
                <c:pt idx="2">
                  <c:v>HR</c:v>
                </c:pt>
                <c:pt idx="3">
                  <c:v>Sales</c:v>
                </c:pt>
                <c:pt idx="4">
                  <c:v>Operations</c:v>
                </c:pt>
                <c:pt idx="5">
                  <c:v>Technology</c:v>
                </c:pt>
              </c:strCache>
            </c:strRef>
          </c:cat>
          <c:val>
            <c:numRef>
              <c:f>Department_Cost_Analysis!$G$3:$G$8</c:f>
              <c:numCache>
                <c:formatCode>\₹#,##0</c:formatCode>
                <c:ptCount val="6"/>
                <c:pt idx="0">
                  <c:v>2474260</c:v>
                </c:pt>
                <c:pt idx="1">
                  <c:v>905982</c:v>
                </c:pt>
                <c:pt idx="2">
                  <c:v>623999</c:v>
                </c:pt>
                <c:pt idx="3">
                  <c:v>1679905</c:v>
                </c:pt>
                <c:pt idx="4">
                  <c:v>1698773</c:v>
                </c:pt>
                <c:pt idx="5">
                  <c:v>1287611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3-433F-909F-455D125E2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10"/>
        <c:axId val="100"/>
        <c:axId val="0"/>
      </c:bar3D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Employer Cost (₹)</a:t>
                </a:r>
              </a:p>
            </c:rich>
          </c:tx>
          <c:layout>
            <c:manualLayout>
              <c:xMode val="edge"/>
              <c:yMode val="edge"/>
              <c:x val="4.459571261307517E-2"/>
              <c:y val="0.30824413764279318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EAEAEA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Employee Cost Share by Department</a:t>
            </a:r>
          </a:p>
        </c:rich>
      </c:tx>
      <c:layout>
        <c:manualLayout>
          <c:xMode val="edge"/>
          <c:yMode val="edge"/>
          <c:x val="0.24575151515151511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436868686868685E-2"/>
          <c:y val="0.16924208977189109"/>
          <c:w val="0.68887878787878787"/>
          <c:h val="0.7902869757174393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4C8-4CD8-89A1-3B2B85C147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4C8-4CD8-89A1-3B2B85C147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4C8-4CD8-89A1-3B2B85C147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C4B-4269-97B3-57632B18BF4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4C8-4CD8-89A1-3B2B85C1476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4C8-4CD8-89A1-3B2B85C1476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Department_Cost_Analysis!$B$3:$B$8</c:f>
              <c:strCache>
                <c:ptCount val="6"/>
                <c:pt idx="0">
                  <c:v>Marketing</c:v>
                </c:pt>
                <c:pt idx="1">
                  <c:v>Finance</c:v>
                </c:pt>
                <c:pt idx="2">
                  <c:v>HR</c:v>
                </c:pt>
                <c:pt idx="3">
                  <c:v>Sales</c:v>
                </c:pt>
                <c:pt idx="4">
                  <c:v>Operations</c:v>
                </c:pt>
                <c:pt idx="5">
                  <c:v>Technology</c:v>
                </c:pt>
              </c:strCache>
            </c:strRef>
          </c:cat>
          <c:val>
            <c:numRef>
              <c:f>Department_Cost_Analysis!$G$3:$G$8</c:f>
              <c:numCache>
                <c:formatCode>\₹#,##0</c:formatCode>
                <c:ptCount val="6"/>
                <c:pt idx="0">
                  <c:v>2474260</c:v>
                </c:pt>
                <c:pt idx="1">
                  <c:v>905982</c:v>
                </c:pt>
                <c:pt idx="2">
                  <c:v>623999</c:v>
                </c:pt>
                <c:pt idx="3">
                  <c:v>1679905</c:v>
                </c:pt>
                <c:pt idx="4">
                  <c:v>1698773</c:v>
                </c:pt>
                <c:pt idx="5">
                  <c:v>1287611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4C8-4CD8-89A1-3B2B85C1476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48637</xdr:colOff>
      <xdr:row>9</xdr:row>
      <xdr:rowOff>131718</xdr:rowOff>
    </xdr:from>
    <xdr:ext cx="6549957" cy="26223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10</xdr:row>
      <xdr:rowOff>0</xdr:rowOff>
    </xdr:from>
    <xdr:ext cx="3960000" cy="288036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1AF01D-3101-493A-AE62-83877F7806FB}" name="Table1" displayName="Table1" ref="A1:M101" totalsRowShown="0" headerRowDxfId="17" dataDxfId="15" headerRowBorderDxfId="16" tableBorderDxfId="14" totalsRowBorderDxfId="13">
  <autoFilter ref="A1:M101" xr:uid="{751AF01D-3101-493A-AE62-83877F7806FB}"/>
  <tableColumns count="13">
    <tableColumn id="1" xr3:uid="{6EFBB3CB-D538-45F2-A387-AF3CBCBC6336}" name="Employee ID" dataDxfId="12">
      <calculatedColumnFormula>Employee_Data!A2</calculatedColumnFormula>
    </tableColumn>
    <tableColumn id="2" xr3:uid="{9E9BB554-8FA0-45F8-B307-49E9AFF09515}" name="Department" dataDxfId="11">
      <calculatedColumnFormula>Employee_Data!B2</calculatedColumnFormula>
    </tableColumn>
    <tableColumn id="3" xr3:uid="{CBEA9F9D-1C87-4B15-8E2E-4ED895DF7468}" name="Basic Salary" dataDxfId="10">
      <calculatedColumnFormula>Employee_Data!E2</calculatedColumnFormula>
    </tableColumn>
    <tableColumn id="4" xr3:uid="{383BC159-9514-45BB-8F13-15C92733E078}" name="HRA" dataDxfId="9">
      <calculatedColumnFormula>Employee_Data!F2</calculatedColumnFormula>
    </tableColumn>
    <tableColumn id="5" xr3:uid="{87A63527-F17F-4660-B103-AA57B809BC9A}" name="Allowances" dataDxfId="8">
      <calculatedColumnFormula>Employee_Data!G2</calculatedColumnFormula>
    </tableColumn>
    <tableColumn id="6" xr3:uid="{27D49291-B40C-4B9C-9B93-C9511491BFEB}" name="Incentive" dataDxfId="7">
      <calculatedColumnFormula>Employee_Data!H2</calculatedColumnFormula>
    </tableColumn>
    <tableColumn id="7" xr3:uid="{A71A26B4-72A2-443F-86F0-603872927DB0}" name="Overtime" dataDxfId="6">
      <calculatedColumnFormula>Employee_Data!I2</calculatedColumnFormula>
    </tableColumn>
    <tableColumn id="8" xr3:uid="{6A5D1295-4082-40A8-ACD6-5D382F0464CA}" name="Gross Salary" dataDxfId="5">
      <calculatedColumnFormula>SUM(C2:G2)</calculatedColumnFormula>
    </tableColumn>
    <tableColumn id="9" xr3:uid="{6ED29BF9-3BDB-4628-BCE2-552C8A92246E}" name="Employee PF" dataDxfId="4">
      <calculatedColumnFormula>Employee_Data!J2</calculatedColumnFormula>
    </tableColumn>
    <tableColumn id="10" xr3:uid="{BC985BFC-1D64-4F61-89E7-CFB384A99FD6}" name="Tax" dataDxfId="3">
      <calculatedColumnFormula>Employee_Data!K2</calculatedColumnFormula>
    </tableColumn>
    <tableColumn id="11" xr3:uid="{C6CB08A2-228A-4C4C-80A3-E0BD42F80BBB}" name="Net Salary" dataDxfId="2">
      <calculatedColumnFormula>H2-I2-J2</calculatedColumnFormula>
    </tableColumn>
    <tableColumn id="12" xr3:uid="{4BA7BBAC-9EBA-43CD-B544-EF72EB726D62}" name="Employer Contribution" dataDxfId="1">
      <calculatedColumnFormula>Employee_Data!L2</calculatedColumnFormula>
    </tableColumn>
    <tableColumn id="13" xr3:uid="{8C580CA0-244B-4086-8791-6EF997DFD066}" name="Employer Cost" dataDxfId="0">
      <calculatedColumnFormula>H2+L2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3"/>
  <sheetViews>
    <sheetView showGridLines="0" workbookViewId="0">
      <selection activeCell="B7" sqref="B7:C7"/>
    </sheetView>
  </sheetViews>
  <sheetFormatPr defaultRowHeight="14.4" x14ac:dyDescent="0.3"/>
  <cols>
    <col min="2" max="2" width="24" customWidth="1"/>
    <col min="3" max="3" width="100" customWidth="1"/>
  </cols>
  <sheetData>
    <row r="1" spans="2:3" s="4" customFormat="1" x14ac:dyDescent="0.3"/>
    <row r="5" spans="2:3" s="4" customFormat="1" x14ac:dyDescent="0.3"/>
    <row r="7" spans="2:3" ht="15.6" x14ac:dyDescent="0.3">
      <c r="B7" s="47" t="s">
        <v>0</v>
      </c>
      <c r="C7" s="48"/>
    </row>
    <row r="8" spans="2:3" ht="15.6" x14ac:dyDescent="0.3">
      <c r="B8" s="25"/>
      <c r="C8" s="26"/>
    </row>
    <row r="9" spans="2:3" ht="15.6" x14ac:dyDescent="0.3">
      <c r="B9" s="27" t="s">
        <v>1</v>
      </c>
      <c r="C9" s="28" t="s">
        <v>2</v>
      </c>
    </row>
    <row r="10" spans="2:3" ht="15.6" x14ac:dyDescent="0.3">
      <c r="B10" s="27" t="s">
        <v>3</v>
      </c>
      <c r="C10" s="28" t="s">
        <v>4</v>
      </c>
    </row>
    <row r="11" spans="2:3" ht="15.6" x14ac:dyDescent="0.3">
      <c r="B11" s="27" t="s">
        <v>5</v>
      </c>
      <c r="C11" s="28" t="s">
        <v>6</v>
      </c>
    </row>
    <row r="12" spans="2:3" ht="15.6" x14ac:dyDescent="0.3">
      <c r="B12" s="27" t="s">
        <v>7</v>
      </c>
      <c r="C12" s="28" t="s">
        <v>8</v>
      </c>
    </row>
    <row r="13" spans="2:3" ht="31.2" x14ac:dyDescent="0.3">
      <c r="B13" s="27" t="s">
        <v>9</v>
      </c>
      <c r="C13" s="28" t="s">
        <v>10</v>
      </c>
    </row>
  </sheetData>
  <mergeCells count="1">
    <mergeCell ref="B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1"/>
  <sheetViews>
    <sheetView showGridLines="0" workbookViewId="0">
      <pane ySplit="1" topLeftCell="A2" activePane="bottomLeft" state="frozen"/>
      <selection pane="bottomLeft" activeCell="T12" sqref="T12"/>
    </sheetView>
  </sheetViews>
  <sheetFormatPr defaultRowHeight="14.4" x14ac:dyDescent="0.3"/>
  <cols>
    <col min="1" max="1" width="11.5546875" bestFit="1" customWidth="1"/>
    <col min="2" max="2" width="11.109375" bestFit="1" customWidth="1"/>
    <col min="3" max="3" width="27.88671875" bestFit="1" customWidth="1"/>
    <col min="4" max="4" width="9" bestFit="1" customWidth="1"/>
    <col min="5" max="11" width="12.77734375" customWidth="1"/>
    <col min="12" max="12" width="13.5546875" customWidth="1"/>
    <col min="13" max="14" width="12.77734375" customWidth="1"/>
    <col min="15" max="15" width="15.6640625" customWidth="1"/>
  </cols>
  <sheetData>
    <row r="1" spans="1:15" s="4" customFormat="1" ht="28.8" x14ac:dyDescent="0.3">
      <c r="A1" s="24" t="s">
        <v>11</v>
      </c>
      <c r="B1" s="24" t="s">
        <v>12</v>
      </c>
      <c r="C1" s="24" t="s">
        <v>13</v>
      </c>
      <c r="D1" s="24" t="s">
        <v>14</v>
      </c>
      <c r="E1" s="24" t="s">
        <v>15</v>
      </c>
      <c r="F1" s="24" t="s">
        <v>16</v>
      </c>
      <c r="G1" s="24" t="s">
        <v>17</v>
      </c>
      <c r="H1" s="24" t="s">
        <v>18</v>
      </c>
      <c r="I1" s="24" t="s">
        <v>19</v>
      </c>
      <c r="J1" s="24" t="s">
        <v>20</v>
      </c>
      <c r="K1" s="24" t="s">
        <v>21</v>
      </c>
      <c r="L1" s="24" t="s">
        <v>22</v>
      </c>
      <c r="M1" s="24" t="s">
        <v>23</v>
      </c>
      <c r="N1" s="24" t="s">
        <v>24</v>
      </c>
      <c r="O1" s="24" t="s">
        <v>25</v>
      </c>
    </row>
    <row r="2" spans="1:15" x14ac:dyDescent="0.3">
      <c r="A2" s="21" t="s">
        <v>26</v>
      </c>
      <c r="B2" s="21" t="s">
        <v>27</v>
      </c>
      <c r="C2" s="21" t="s">
        <v>28</v>
      </c>
      <c r="D2" s="21" t="s">
        <v>29</v>
      </c>
      <c r="E2" s="22">
        <v>47174</v>
      </c>
      <c r="F2" s="22">
        <v>10734</v>
      </c>
      <c r="G2" s="22">
        <v>4219</v>
      </c>
      <c r="H2" s="22">
        <v>2625</v>
      </c>
      <c r="I2" s="22">
        <v>697</v>
      </c>
      <c r="J2" s="22">
        <v>5661</v>
      </c>
      <c r="K2" s="22">
        <v>3364</v>
      </c>
      <c r="L2" s="22">
        <v>5661</v>
      </c>
      <c r="M2" s="22">
        <v>65449</v>
      </c>
      <c r="N2" s="22">
        <v>56424</v>
      </c>
      <c r="O2" s="22">
        <v>71110</v>
      </c>
    </row>
    <row r="3" spans="1:15" x14ac:dyDescent="0.3">
      <c r="A3" s="21" t="s">
        <v>30</v>
      </c>
      <c r="B3" s="21" t="s">
        <v>31</v>
      </c>
      <c r="C3" s="21" t="s">
        <v>32</v>
      </c>
      <c r="D3" s="21" t="s">
        <v>33</v>
      </c>
      <c r="E3" s="23">
        <v>78827</v>
      </c>
      <c r="F3" s="23">
        <v>21621</v>
      </c>
      <c r="G3" s="23">
        <v>7246</v>
      </c>
      <c r="H3" s="23">
        <v>4381</v>
      </c>
      <c r="I3" s="23">
        <v>4402</v>
      </c>
      <c r="J3" s="23">
        <v>9459</v>
      </c>
      <c r="K3" s="23">
        <v>6149</v>
      </c>
      <c r="L3" s="23">
        <v>9459</v>
      </c>
      <c r="M3" s="23">
        <v>116477</v>
      </c>
      <c r="N3" s="23">
        <v>100869</v>
      </c>
      <c r="O3" s="23">
        <v>125936</v>
      </c>
    </row>
    <row r="4" spans="1:15" x14ac:dyDescent="0.3">
      <c r="A4" s="21" t="s">
        <v>34</v>
      </c>
      <c r="B4" s="21" t="s">
        <v>35</v>
      </c>
      <c r="C4" s="21" t="s">
        <v>36</v>
      </c>
      <c r="D4" s="21" t="s">
        <v>29</v>
      </c>
      <c r="E4" s="23">
        <v>47693</v>
      </c>
      <c r="F4" s="23">
        <v>10762</v>
      </c>
      <c r="G4" s="23">
        <v>3114</v>
      </c>
      <c r="H4" s="23">
        <v>1589</v>
      </c>
      <c r="I4" s="23">
        <v>4416</v>
      </c>
      <c r="J4" s="23">
        <v>5723</v>
      </c>
      <c r="K4" s="23">
        <v>2441</v>
      </c>
      <c r="L4" s="23">
        <v>5723</v>
      </c>
      <c r="M4" s="23">
        <v>67574</v>
      </c>
      <c r="N4" s="23">
        <v>59410</v>
      </c>
      <c r="O4" s="23">
        <v>73297</v>
      </c>
    </row>
    <row r="5" spans="1:15" x14ac:dyDescent="0.3">
      <c r="A5" s="21" t="s">
        <v>37</v>
      </c>
      <c r="B5" s="21" t="s">
        <v>38</v>
      </c>
      <c r="C5" s="21" t="s">
        <v>39</v>
      </c>
      <c r="D5" s="21" t="s">
        <v>29</v>
      </c>
      <c r="E5" s="23">
        <v>39494</v>
      </c>
      <c r="F5" s="23">
        <v>10690</v>
      </c>
      <c r="G5" s="23">
        <v>2727</v>
      </c>
      <c r="H5" s="23">
        <v>2046</v>
      </c>
      <c r="I5" s="23">
        <v>3</v>
      </c>
      <c r="J5" s="23">
        <v>4739</v>
      </c>
      <c r="K5" s="23">
        <v>2067</v>
      </c>
      <c r="L5" s="23">
        <v>4739</v>
      </c>
      <c r="M5" s="23">
        <v>54960</v>
      </c>
      <c r="N5" s="23">
        <v>48154</v>
      </c>
      <c r="O5" s="23">
        <v>59699</v>
      </c>
    </row>
    <row r="6" spans="1:15" x14ac:dyDescent="0.3">
      <c r="A6" s="21" t="s">
        <v>40</v>
      </c>
      <c r="B6" s="21" t="s">
        <v>41</v>
      </c>
      <c r="C6" s="21" t="s">
        <v>42</v>
      </c>
      <c r="D6" s="21" t="s">
        <v>29</v>
      </c>
      <c r="E6" s="23">
        <v>49959</v>
      </c>
      <c r="F6" s="23">
        <v>11661</v>
      </c>
      <c r="G6" s="23">
        <v>4193</v>
      </c>
      <c r="H6" s="23">
        <v>2767</v>
      </c>
      <c r="I6" s="23">
        <v>1347</v>
      </c>
      <c r="J6" s="23">
        <v>5995</v>
      </c>
      <c r="K6" s="23">
        <v>2215</v>
      </c>
      <c r="L6" s="23">
        <v>5995</v>
      </c>
      <c r="M6" s="23">
        <v>69927</v>
      </c>
      <c r="N6" s="23">
        <v>61717</v>
      </c>
      <c r="O6" s="23">
        <v>75922</v>
      </c>
    </row>
    <row r="7" spans="1:15" x14ac:dyDescent="0.3">
      <c r="A7" s="21" t="s">
        <v>43</v>
      </c>
      <c r="B7" s="21" t="s">
        <v>41</v>
      </c>
      <c r="C7" s="21" t="s">
        <v>42</v>
      </c>
      <c r="D7" s="21" t="s">
        <v>29</v>
      </c>
      <c r="E7" s="23">
        <v>58303</v>
      </c>
      <c r="F7" s="23">
        <v>13748</v>
      </c>
      <c r="G7" s="23">
        <v>4563</v>
      </c>
      <c r="H7" s="23">
        <v>303</v>
      </c>
      <c r="I7" s="23">
        <v>1270</v>
      </c>
      <c r="J7" s="23">
        <v>6996</v>
      </c>
      <c r="K7" s="23">
        <v>2478</v>
      </c>
      <c r="L7" s="23">
        <v>6996</v>
      </c>
      <c r="M7" s="23">
        <v>78187</v>
      </c>
      <c r="N7" s="23">
        <v>68713</v>
      </c>
      <c r="O7" s="23">
        <v>85183</v>
      </c>
    </row>
    <row r="8" spans="1:15" x14ac:dyDescent="0.3">
      <c r="A8" s="21" t="s">
        <v>44</v>
      </c>
      <c r="B8" s="21" t="s">
        <v>41</v>
      </c>
      <c r="C8" s="21" t="s">
        <v>42</v>
      </c>
      <c r="D8" s="21" t="s">
        <v>29</v>
      </c>
      <c r="E8" s="23">
        <v>51664</v>
      </c>
      <c r="F8" s="23">
        <v>10065</v>
      </c>
      <c r="G8" s="23">
        <v>6192</v>
      </c>
      <c r="H8" s="23">
        <v>1103</v>
      </c>
      <c r="I8" s="23">
        <v>4883</v>
      </c>
      <c r="J8" s="23">
        <v>6200</v>
      </c>
      <c r="K8" s="23">
        <v>3024</v>
      </c>
      <c r="L8" s="23">
        <v>6200</v>
      </c>
      <c r="M8" s="23">
        <v>73907</v>
      </c>
      <c r="N8" s="23">
        <v>64683</v>
      </c>
      <c r="O8" s="23">
        <v>80107</v>
      </c>
    </row>
    <row r="9" spans="1:15" x14ac:dyDescent="0.3">
      <c r="A9" s="21" t="s">
        <v>45</v>
      </c>
      <c r="B9" s="21" t="s">
        <v>31</v>
      </c>
      <c r="C9" s="21" t="s">
        <v>46</v>
      </c>
      <c r="D9" s="21" t="s">
        <v>29</v>
      </c>
      <c r="E9" s="23">
        <v>35392</v>
      </c>
      <c r="F9" s="23">
        <v>8616</v>
      </c>
      <c r="G9" s="23">
        <v>3456</v>
      </c>
      <c r="H9" s="23">
        <v>1503</v>
      </c>
      <c r="I9" s="23">
        <v>2239</v>
      </c>
      <c r="J9" s="23">
        <v>4247</v>
      </c>
      <c r="K9" s="23">
        <v>2497</v>
      </c>
      <c r="L9" s="23">
        <v>4247</v>
      </c>
      <c r="M9" s="23">
        <v>51206</v>
      </c>
      <c r="N9" s="23">
        <v>44462</v>
      </c>
      <c r="O9" s="23">
        <v>55453</v>
      </c>
    </row>
    <row r="10" spans="1:15" x14ac:dyDescent="0.3">
      <c r="A10" s="21" t="s">
        <v>47</v>
      </c>
      <c r="B10" s="21" t="s">
        <v>38</v>
      </c>
      <c r="C10" s="21" t="s">
        <v>39</v>
      </c>
      <c r="D10" s="21" t="s">
        <v>33</v>
      </c>
      <c r="E10" s="23">
        <v>28202</v>
      </c>
      <c r="F10" s="23">
        <v>6119</v>
      </c>
      <c r="G10" s="23">
        <v>1888</v>
      </c>
      <c r="H10" s="23">
        <v>1812</v>
      </c>
      <c r="I10" s="23">
        <v>2352</v>
      </c>
      <c r="J10" s="23">
        <v>3384</v>
      </c>
      <c r="K10" s="23">
        <v>2922</v>
      </c>
      <c r="L10" s="23">
        <v>3384</v>
      </c>
      <c r="M10" s="23">
        <v>40373</v>
      </c>
      <c r="N10" s="23">
        <v>34067</v>
      </c>
      <c r="O10" s="23">
        <v>43757</v>
      </c>
    </row>
    <row r="11" spans="1:15" x14ac:dyDescent="0.3">
      <c r="A11" s="21" t="s">
        <v>48</v>
      </c>
      <c r="B11" s="21" t="s">
        <v>35</v>
      </c>
      <c r="C11" s="21" t="s">
        <v>49</v>
      </c>
      <c r="D11" s="21" t="s">
        <v>29</v>
      </c>
      <c r="E11" s="23">
        <v>43087</v>
      </c>
      <c r="F11" s="23">
        <v>11195</v>
      </c>
      <c r="G11" s="23">
        <v>2609</v>
      </c>
      <c r="H11" s="23">
        <v>1752</v>
      </c>
      <c r="I11" s="23">
        <v>3479</v>
      </c>
      <c r="J11" s="23">
        <v>5170</v>
      </c>
      <c r="K11" s="23">
        <v>4072</v>
      </c>
      <c r="L11" s="23">
        <v>5170</v>
      </c>
      <c r="M11" s="23">
        <v>62122</v>
      </c>
      <c r="N11" s="23">
        <v>52880</v>
      </c>
      <c r="O11" s="23">
        <v>67292</v>
      </c>
    </row>
    <row r="12" spans="1:15" x14ac:dyDescent="0.3">
      <c r="A12" s="21" t="s">
        <v>50</v>
      </c>
      <c r="B12" s="21" t="s">
        <v>41</v>
      </c>
      <c r="C12" s="21" t="s">
        <v>42</v>
      </c>
      <c r="D12" s="21" t="s">
        <v>29</v>
      </c>
      <c r="E12" s="23">
        <v>53945</v>
      </c>
      <c r="F12" s="23">
        <v>12473</v>
      </c>
      <c r="G12" s="23">
        <v>3553</v>
      </c>
      <c r="H12" s="23">
        <v>2784</v>
      </c>
      <c r="I12" s="23">
        <v>872</v>
      </c>
      <c r="J12" s="23">
        <v>6473</v>
      </c>
      <c r="K12" s="23">
        <v>4127</v>
      </c>
      <c r="L12" s="23">
        <v>6473</v>
      </c>
      <c r="M12" s="23">
        <v>73627</v>
      </c>
      <c r="N12" s="23">
        <v>63027</v>
      </c>
      <c r="O12" s="23">
        <v>80100</v>
      </c>
    </row>
    <row r="13" spans="1:15" x14ac:dyDescent="0.3">
      <c r="A13" s="21" t="s">
        <v>51</v>
      </c>
      <c r="B13" s="21" t="s">
        <v>31</v>
      </c>
      <c r="C13" s="21" t="s">
        <v>52</v>
      </c>
      <c r="D13" s="21" t="s">
        <v>29</v>
      </c>
      <c r="E13" s="23">
        <v>107504</v>
      </c>
      <c r="F13" s="23">
        <v>26615</v>
      </c>
      <c r="G13" s="23">
        <v>10908</v>
      </c>
      <c r="H13" s="23">
        <v>1798</v>
      </c>
      <c r="I13" s="23">
        <v>2707</v>
      </c>
      <c r="J13" s="23">
        <v>12900</v>
      </c>
      <c r="K13" s="23">
        <v>8437</v>
      </c>
      <c r="L13" s="23">
        <v>12900</v>
      </c>
      <c r="M13" s="23">
        <v>149532</v>
      </c>
      <c r="N13" s="23">
        <v>128195</v>
      </c>
      <c r="O13" s="23">
        <v>162432</v>
      </c>
    </row>
    <row r="14" spans="1:15" x14ac:dyDescent="0.3">
      <c r="A14" s="21" t="s">
        <v>53</v>
      </c>
      <c r="B14" s="21" t="s">
        <v>35</v>
      </c>
      <c r="C14" s="21" t="s">
        <v>36</v>
      </c>
      <c r="D14" s="21" t="s">
        <v>54</v>
      </c>
      <c r="E14" s="23">
        <v>76065</v>
      </c>
      <c r="F14" s="23">
        <v>21163</v>
      </c>
      <c r="G14" s="23">
        <v>6554</v>
      </c>
      <c r="H14" s="23">
        <v>1587</v>
      </c>
      <c r="I14" s="23">
        <v>4981</v>
      </c>
      <c r="J14" s="23">
        <v>9128</v>
      </c>
      <c r="K14" s="23">
        <v>7888</v>
      </c>
      <c r="L14" s="23">
        <v>9128</v>
      </c>
      <c r="M14" s="23">
        <v>110350</v>
      </c>
      <c r="N14" s="23">
        <v>93334</v>
      </c>
      <c r="O14" s="23">
        <v>119478</v>
      </c>
    </row>
    <row r="15" spans="1:15" x14ac:dyDescent="0.3">
      <c r="A15" s="21" t="s">
        <v>55</v>
      </c>
      <c r="B15" s="21" t="s">
        <v>56</v>
      </c>
      <c r="C15" s="21" t="s">
        <v>57</v>
      </c>
      <c r="D15" s="21" t="s">
        <v>54</v>
      </c>
      <c r="E15" s="23">
        <v>77158</v>
      </c>
      <c r="F15" s="23">
        <v>16504</v>
      </c>
      <c r="G15" s="23">
        <v>5744</v>
      </c>
      <c r="H15" s="23">
        <v>4481</v>
      </c>
      <c r="I15" s="23">
        <v>4486</v>
      </c>
      <c r="J15" s="23">
        <v>9259</v>
      </c>
      <c r="K15" s="23">
        <v>7258</v>
      </c>
      <c r="L15" s="23">
        <v>9259</v>
      </c>
      <c r="M15" s="23">
        <v>108373</v>
      </c>
      <c r="N15" s="23">
        <v>91856</v>
      </c>
      <c r="O15" s="23">
        <v>117632</v>
      </c>
    </row>
    <row r="16" spans="1:15" x14ac:dyDescent="0.3">
      <c r="A16" s="21" t="s">
        <v>58</v>
      </c>
      <c r="B16" s="21" t="s">
        <v>41</v>
      </c>
      <c r="C16" s="21" t="s">
        <v>59</v>
      </c>
      <c r="D16" s="21" t="s">
        <v>54</v>
      </c>
      <c r="E16" s="23">
        <v>57874</v>
      </c>
      <c r="F16" s="23">
        <v>15832</v>
      </c>
      <c r="G16" s="23">
        <v>6075</v>
      </c>
      <c r="H16" s="23">
        <v>3097</v>
      </c>
      <c r="I16" s="23">
        <v>2903</v>
      </c>
      <c r="J16" s="23">
        <v>6945</v>
      </c>
      <c r="K16" s="23">
        <v>3338</v>
      </c>
      <c r="L16" s="23">
        <v>6945</v>
      </c>
      <c r="M16" s="23">
        <v>85781</v>
      </c>
      <c r="N16" s="23">
        <v>75498</v>
      </c>
      <c r="O16" s="23">
        <v>92726</v>
      </c>
    </row>
    <row r="17" spans="1:15" x14ac:dyDescent="0.3">
      <c r="A17" s="21" t="s">
        <v>60</v>
      </c>
      <c r="B17" s="21" t="s">
        <v>41</v>
      </c>
      <c r="C17" s="21" t="s">
        <v>59</v>
      </c>
      <c r="D17" s="21" t="s">
        <v>54</v>
      </c>
      <c r="E17" s="23">
        <v>47961</v>
      </c>
      <c r="F17" s="23">
        <v>9404</v>
      </c>
      <c r="G17" s="23">
        <v>4240</v>
      </c>
      <c r="H17" s="23">
        <v>2655</v>
      </c>
      <c r="I17" s="23">
        <v>3260</v>
      </c>
      <c r="J17" s="23">
        <v>5755</v>
      </c>
      <c r="K17" s="23">
        <v>2066</v>
      </c>
      <c r="L17" s="23">
        <v>5755</v>
      </c>
      <c r="M17" s="23">
        <v>67520</v>
      </c>
      <c r="N17" s="23">
        <v>59699</v>
      </c>
      <c r="O17" s="23">
        <v>73275</v>
      </c>
    </row>
    <row r="18" spans="1:15" x14ac:dyDescent="0.3">
      <c r="A18" s="21" t="s">
        <v>61</v>
      </c>
      <c r="B18" s="21" t="s">
        <v>56</v>
      </c>
      <c r="C18" s="21" t="s">
        <v>62</v>
      </c>
      <c r="D18" s="21" t="s">
        <v>54</v>
      </c>
      <c r="E18" s="23">
        <v>48877</v>
      </c>
      <c r="F18" s="23">
        <v>10388</v>
      </c>
      <c r="G18" s="23">
        <v>4998</v>
      </c>
      <c r="H18" s="23">
        <v>2540</v>
      </c>
      <c r="I18" s="23">
        <v>4246</v>
      </c>
      <c r="J18" s="23">
        <v>5865</v>
      </c>
      <c r="K18" s="23">
        <v>3876</v>
      </c>
      <c r="L18" s="23">
        <v>5865</v>
      </c>
      <c r="M18" s="23">
        <v>71049</v>
      </c>
      <c r="N18" s="23">
        <v>61308</v>
      </c>
      <c r="O18" s="23">
        <v>76914</v>
      </c>
    </row>
    <row r="19" spans="1:15" x14ac:dyDescent="0.3">
      <c r="A19" s="21" t="s">
        <v>63</v>
      </c>
      <c r="B19" s="21" t="s">
        <v>38</v>
      </c>
      <c r="C19" s="21" t="s">
        <v>64</v>
      </c>
      <c r="D19" s="21" t="s">
        <v>33</v>
      </c>
      <c r="E19" s="23">
        <v>37146</v>
      </c>
      <c r="F19" s="23">
        <v>8052</v>
      </c>
      <c r="G19" s="23">
        <v>2547</v>
      </c>
      <c r="H19" s="23">
        <v>725</v>
      </c>
      <c r="I19" s="23">
        <v>4865</v>
      </c>
      <c r="J19" s="23">
        <v>4458</v>
      </c>
      <c r="K19" s="23">
        <v>2130</v>
      </c>
      <c r="L19" s="23">
        <v>4458</v>
      </c>
      <c r="M19" s="23">
        <v>53335</v>
      </c>
      <c r="N19" s="23">
        <v>46747</v>
      </c>
      <c r="O19" s="23">
        <v>57793</v>
      </c>
    </row>
    <row r="20" spans="1:15" x14ac:dyDescent="0.3">
      <c r="A20" s="21" t="s">
        <v>65</v>
      </c>
      <c r="B20" s="21" t="s">
        <v>38</v>
      </c>
      <c r="C20" s="21" t="s">
        <v>66</v>
      </c>
      <c r="D20" s="21" t="s">
        <v>54</v>
      </c>
      <c r="E20" s="23">
        <v>100746</v>
      </c>
      <c r="F20" s="23">
        <v>26142</v>
      </c>
      <c r="G20" s="23">
        <v>8582</v>
      </c>
      <c r="H20" s="23">
        <v>4650</v>
      </c>
      <c r="I20" s="23">
        <v>2463</v>
      </c>
      <c r="J20" s="23">
        <v>12090</v>
      </c>
      <c r="K20" s="23">
        <v>4139</v>
      </c>
      <c r="L20" s="23">
        <v>12090</v>
      </c>
      <c r="M20" s="23">
        <v>142583</v>
      </c>
      <c r="N20" s="23">
        <v>126354</v>
      </c>
      <c r="O20" s="23">
        <v>154673</v>
      </c>
    </row>
    <row r="21" spans="1:15" x14ac:dyDescent="0.3">
      <c r="A21" s="21" t="s">
        <v>67</v>
      </c>
      <c r="B21" s="21" t="s">
        <v>56</v>
      </c>
      <c r="C21" s="21" t="s">
        <v>62</v>
      </c>
      <c r="D21" s="21" t="s">
        <v>54</v>
      </c>
      <c r="E21" s="23">
        <v>52067</v>
      </c>
      <c r="F21" s="23">
        <v>9499</v>
      </c>
      <c r="G21" s="23">
        <v>4956</v>
      </c>
      <c r="H21" s="23">
        <v>738</v>
      </c>
      <c r="I21" s="23">
        <v>4702</v>
      </c>
      <c r="J21" s="23">
        <v>6248</v>
      </c>
      <c r="K21" s="23">
        <v>5075</v>
      </c>
      <c r="L21" s="23">
        <v>6248</v>
      </c>
      <c r="M21" s="23">
        <v>71962</v>
      </c>
      <c r="N21" s="23">
        <v>60639</v>
      </c>
      <c r="O21" s="23">
        <v>78210</v>
      </c>
    </row>
    <row r="22" spans="1:15" x14ac:dyDescent="0.3">
      <c r="A22" s="21" t="s">
        <v>68</v>
      </c>
      <c r="B22" s="21" t="s">
        <v>38</v>
      </c>
      <c r="C22" s="21" t="s">
        <v>39</v>
      </c>
      <c r="D22" s="21" t="s">
        <v>29</v>
      </c>
      <c r="E22" s="23">
        <v>58440</v>
      </c>
      <c r="F22" s="23">
        <v>16089</v>
      </c>
      <c r="G22" s="23">
        <v>4275</v>
      </c>
      <c r="H22" s="23">
        <v>2584</v>
      </c>
      <c r="I22" s="23">
        <v>2861</v>
      </c>
      <c r="J22" s="23">
        <v>7013</v>
      </c>
      <c r="K22" s="23">
        <v>6088</v>
      </c>
      <c r="L22" s="23">
        <v>7013</v>
      </c>
      <c r="M22" s="23">
        <v>84249</v>
      </c>
      <c r="N22" s="23">
        <v>71148</v>
      </c>
      <c r="O22" s="23">
        <v>91262</v>
      </c>
    </row>
    <row r="23" spans="1:15" x14ac:dyDescent="0.3">
      <c r="A23" s="21" t="s">
        <v>69</v>
      </c>
      <c r="B23" s="21" t="s">
        <v>41</v>
      </c>
      <c r="C23" s="21" t="s">
        <v>42</v>
      </c>
      <c r="D23" s="21" t="s">
        <v>33</v>
      </c>
      <c r="E23" s="23">
        <v>30975</v>
      </c>
      <c r="F23" s="23">
        <v>8212</v>
      </c>
      <c r="G23" s="23">
        <v>2236</v>
      </c>
      <c r="H23" s="23">
        <v>420</v>
      </c>
      <c r="I23" s="23">
        <v>2784</v>
      </c>
      <c r="J23" s="23">
        <v>3717</v>
      </c>
      <c r="K23" s="23">
        <v>3116</v>
      </c>
      <c r="L23" s="23">
        <v>3717</v>
      </c>
      <c r="M23" s="23">
        <v>44627</v>
      </c>
      <c r="N23" s="23">
        <v>37794</v>
      </c>
      <c r="O23" s="23">
        <v>48344</v>
      </c>
    </row>
    <row r="24" spans="1:15" x14ac:dyDescent="0.3">
      <c r="A24" s="21" t="s">
        <v>70</v>
      </c>
      <c r="B24" s="21" t="s">
        <v>56</v>
      </c>
      <c r="C24" s="21" t="s">
        <v>57</v>
      </c>
      <c r="D24" s="21" t="s">
        <v>33</v>
      </c>
      <c r="E24" s="23">
        <v>106631</v>
      </c>
      <c r="F24" s="23">
        <v>21421</v>
      </c>
      <c r="G24" s="23">
        <v>10341</v>
      </c>
      <c r="H24" s="23">
        <v>3059</v>
      </c>
      <c r="I24" s="23">
        <v>1271</v>
      </c>
      <c r="J24" s="23">
        <v>12796</v>
      </c>
      <c r="K24" s="23">
        <v>4901</v>
      </c>
      <c r="L24" s="23">
        <v>12796</v>
      </c>
      <c r="M24" s="23">
        <v>142723</v>
      </c>
      <c r="N24" s="23">
        <v>125026</v>
      </c>
      <c r="O24" s="23">
        <v>155519</v>
      </c>
    </row>
    <row r="25" spans="1:15" x14ac:dyDescent="0.3">
      <c r="A25" s="21" t="s">
        <v>71</v>
      </c>
      <c r="B25" s="21" t="s">
        <v>27</v>
      </c>
      <c r="C25" s="21" t="s">
        <v>72</v>
      </c>
      <c r="D25" s="21" t="s">
        <v>54</v>
      </c>
      <c r="E25" s="23">
        <v>57533</v>
      </c>
      <c r="F25" s="23">
        <v>12424</v>
      </c>
      <c r="G25" s="23">
        <v>4059</v>
      </c>
      <c r="H25" s="23">
        <v>3725</v>
      </c>
      <c r="I25" s="23">
        <v>4051</v>
      </c>
      <c r="J25" s="23">
        <v>6904</v>
      </c>
      <c r="K25" s="23">
        <v>5394</v>
      </c>
      <c r="L25" s="23">
        <v>6904</v>
      </c>
      <c r="M25" s="23">
        <v>81792</v>
      </c>
      <c r="N25" s="23">
        <v>69494</v>
      </c>
      <c r="O25" s="23">
        <v>88696</v>
      </c>
    </row>
    <row r="26" spans="1:15" x14ac:dyDescent="0.3">
      <c r="A26" s="21" t="s">
        <v>73</v>
      </c>
      <c r="B26" s="21" t="s">
        <v>38</v>
      </c>
      <c r="C26" s="21" t="s">
        <v>64</v>
      </c>
      <c r="D26" s="21" t="s">
        <v>29</v>
      </c>
      <c r="E26" s="23">
        <v>47334</v>
      </c>
      <c r="F26" s="23">
        <v>10894</v>
      </c>
      <c r="G26" s="23">
        <v>5012</v>
      </c>
      <c r="H26" s="23">
        <v>2461</v>
      </c>
      <c r="I26" s="23">
        <v>3510</v>
      </c>
      <c r="J26" s="23">
        <v>5680</v>
      </c>
      <c r="K26" s="23">
        <v>4304</v>
      </c>
      <c r="L26" s="23">
        <v>5680</v>
      </c>
      <c r="M26" s="23">
        <v>69211</v>
      </c>
      <c r="N26" s="23">
        <v>59227</v>
      </c>
      <c r="O26" s="23">
        <v>74891</v>
      </c>
    </row>
    <row r="27" spans="1:15" x14ac:dyDescent="0.3">
      <c r="A27" s="21" t="s">
        <v>74</v>
      </c>
      <c r="B27" s="21" t="s">
        <v>35</v>
      </c>
      <c r="C27" s="21" t="s">
        <v>49</v>
      </c>
      <c r="D27" s="21" t="s">
        <v>33</v>
      </c>
      <c r="E27" s="23">
        <v>41403</v>
      </c>
      <c r="F27" s="23">
        <v>9849</v>
      </c>
      <c r="G27" s="23">
        <v>3341</v>
      </c>
      <c r="H27" s="23">
        <v>2226</v>
      </c>
      <c r="I27" s="23">
        <v>1641</v>
      </c>
      <c r="J27" s="23">
        <v>4968</v>
      </c>
      <c r="K27" s="23">
        <v>1567</v>
      </c>
      <c r="L27" s="23">
        <v>4968</v>
      </c>
      <c r="M27" s="23">
        <v>58460</v>
      </c>
      <c r="N27" s="23">
        <v>51925</v>
      </c>
      <c r="O27" s="23">
        <v>63428</v>
      </c>
    </row>
    <row r="28" spans="1:15" x14ac:dyDescent="0.3">
      <c r="A28" s="21" t="s">
        <v>75</v>
      </c>
      <c r="B28" s="21" t="s">
        <v>41</v>
      </c>
      <c r="C28" s="21" t="s">
        <v>42</v>
      </c>
      <c r="D28" s="21" t="s">
        <v>54</v>
      </c>
      <c r="E28" s="23">
        <v>50841</v>
      </c>
      <c r="F28" s="23">
        <v>13526</v>
      </c>
      <c r="G28" s="23">
        <v>3433</v>
      </c>
      <c r="H28" s="23">
        <v>158</v>
      </c>
      <c r="I28" s="23">
        <v>1516</v>
      </c>
      <c r="J28" s="23">
        <v>6101</v>
      </c>
      <c r="K28" s="23">
        <v>3310</v>
      </c>
      <c r="L28" s="23">
        <v>6101</v>
      </c>
      <c r="M28" s="23">
        <v>69474</v>
      </c>
      <c r="N28" s="23">
        <v>60063</v>
      </c>
      <c r="O28" s="23">
        <v>75575</v>
      </c>
    </row>
    <row r="29" spans="1:15" x14ac:dyDescent="0.3">
      <c r="A29" s="21" t="s">
        <v>76</v>
      </c>
      <c r="B29" s="21" t="s">
        <v>38</v>
      </c>
      <c r="C29" s="21" t="s">
        <v>64</v>
      </c>
      <c r="D29" s="21" t="s">
        <v>33</v>
      </c>
      <c r="E29" s="23">
        <v>47508</v>
      </c>
      <c r="F29" s="23">
        <v>9841</v>
      </c>
      <c r="G29" s="23">
        <v>5585</v>
      </c>
      <c r="H29" s="23">
        <v>1738</v>
      </c>
      <c r="I29" s="23">
        <v>4210</v>
      </c>
      <c r="J29" s="23">
        <v>5701</v>
      </c>
      <c r="K29" s="23">
        <v>2000</v>
      </c>
      <c r="L29" s="23">
        <v>5701</v>
      </c>
      <c r="M29" s="23">
        <v>68882</v>
      </c>
      <c r="N29" s="23">
        <v>61181</v>
      </c>
      <c r="O29" s="23">
        <v>74583</v>
      </c>
    </row>
    <row r="30" spans="1:15" x14ac:dyDescent="0.3">
      <c r="A30" s="21" t="s">
        <v>77</v>
      </c>
      <c r="B30" s="21" t="s">
        <v>38</v>
      </c>
      <c r="C30" s="21" t="s">
        <v>64</v>
      </c>
      <c r="D30" s="21" t="s">
        <v>29</v>
      </c>
      <c r="E30" s="23">
        <v>34966</v>
      </c>
      <c r="F30" s="23">
        <v>6778</v>
      </c>
      <c r="G30" s="23">
        <v>2073</v>
      </c>
      <c r="H30" s="23">
        <v>2712</v>
      </c>
      <c r="I30" s="23">
        <v>3573</v>
      </c>
      <c r="J30" s="23">
        <v>4196</v>
      </c>
      <c r="K30" s="23">
        <v>1031</v>
      </c>
      <c r="L30" s="23">
        <v>4196</v>
      </c>
      <c r="M30" s="23">
        <v>50102</v>
      </c>
      <c r="N30" s="23">
        <v>44875</v>
      </c>
      <c r="O30" s="23">
        <v>54298</v>
      </c>
    </row>
    <row r="31" spans="1:15" x14ac:dyDescent="0.3">
      <c r="A31" s="21" t="s">
        <v>78</v>
      </c>
      <c r="B31" s="21" t="s">
        <v>41</v>
      </c>
      <c r="C31" s="21" t="s">
        <v>42</v>
      </c>
      <c r="D31" s="21" t="s">
        <v>54</v>
      </c>
      <c r="E31" s="23">
        <v>33177</v>
      </c>
      <c r="F31" s="23">
        <v>6232</v>
      </c>
      <c r="G31" s="23">
        <v>1718</v>
      </c>
      <c r="H31" s="23">
        <v>2555</v>
      </c>
      <c r="I31" s="23">
        <v>4180</v>
      </c>
      <c r="J31" s="23">
        <v>3981</v>
      </c>
      <c r="K31" s="23">
        <v>2710</v>
      </c>
      <c r="L31" s="23">
        <v>3981</v>
      </c>
      <c r="M31" s="23">
        <v>47862</v>
      </c>
      <c r="N31" s="23">
        <v>41171</v>
      </c>
      <c r="O31" s="23">
        <v>51843</v>
      </c>
    </row>
    <row r="32" spans="1:15" x14ac:dyDescent="0.3">
      <c r="A32" s="21" t="s">
        <v>79</v>
      </c>
      <c r="B32" s="21" t="s">
        <v>38</v>
      </c>
      <c r="C32" s="21" t="s">
        <v>64</v>
      </c>
      <c r="D32" s="21" t="s">
        <v>54</v>
      </c>
      <c r="E32" s="23">
        <v>57305</v>
      </c>
      <c r="F32" s="23">
        <v>11211</v>
      </c>
      <c r="G32" s="23">
        <v>3869</v>
      </c>
      <c r="H32" s="23">
        <v>2518</v>
      </c>
      <c r="I32" s="23">
        <v>3573</v>
      </c>
      <c r="J32" s="23">
        <v>6877</v>
      </c>
      <c r="K32" s="23">
        <v>4268</v>
      </c>
      <c r="L32" s="23">
        <v>6877</v>
      </c>
      <c r="M32" s="23">
        <v>78476</v>
      </c>
      <c r="N32" s="23">
        <v>67331</v>
      </c>
      <c r="O32" s="23">
        <v>85353</v>
      </c>
    </row>
    <row r="33" spans="1:15" x14ac:dyDescent="0.3">
      <c r="A33" s="21" t="s">
        <v>80</v>
      </c>
      <c r="B33" s="21" t="s">
        <v>41</v>
      </c>
      <c r="C33" s="21" t="s">
        <v>59</v>
      </c>
      <c r="D33" s="21" t="s">
        <v>29</v>
      </c>
      <c r="E33" s="23">
        <v>58500</v>
      </c>
      <c r="F33" s="23">
        <v>14847</v>
      </c>
      <c r="G33" s="23">
        <v>5195</v>
      </c>
      <c r="H33" s="23">
        <v>2863</v>
      </c>
      <c r="I33" s="23">
        <v>2098</v>
      </c>
      <c r="J33" s="23">
        <v>7020</v>
      </c>
      <c r="K33" s="23">
        <v>2666</v>
      </c>
      <c r="L33" s="23">
        <v>7020</v>
      </c>
      <c r="M33" s="23">
        <v>83503</v>
      </c>
      <c r="N33" s="23">
        <v>73817</v>
      </c>
      <c r="O33" s="23">
        <v>90523</v>
      </c>
    </row>
    <row r="34" spans="1:15" x14ac:dyDescent="0.3">
      <c r="A34" s="21" t="s">
        <v>81</v>
      </c>
      <c r="B34" s="21" t="s">
        <v>41</v>
      </c>
      <c r="C34" s="21" t="s">
        <v>59</v>
      </c>
      <c r="D34" s="21" t="s">
        <v>54</v>
      </c>
      <c r="E34" s="23">
        <v>64128</v>
      </c>
      <c r="F34" s="23">
        <v>13735</v>
      </c>
      <c r="G34" s="23">
        <v>3618</v>
      </c>
      <c r="H34" s="23">
        <v>483</v>
      </c>
      <c r="I34" s="23">
        <v>1557</v>
      </c>
      <c r="J34" s="23">
        <v>7695</v>
      </c>
      <c r="K34" s="23">
        <v>5973</v>
      </c>
      <c r="L34" s="23">
        <v>7695</v>
      </c>
      <c r="M34" s="23">
        <v>83521</v>
      </c>
      <c r="N34" s="23">
        <v>69853</v>
      </c>
      <c r="O34" s="23">
        <v>91216</v>
      </c>
    </row>
    <row r="35" spans="1:15" x14ac:dyDescent="0.3">
      <c r="A35" s="21" t="s">
        <v>82</v>
      </c>
      <c r="B35" s="21" t="s">
        <v>31</v>
      </c>
      <c r="C35" s="21" t="s">
        <v>46</v>
      </c>
      <c r="D35" s="21" t="s">
        <v>33</v>
      </c>
      <c r="E35" s="23">
        <v>38457</v>
      </c>
      <c r="F35" s="23">
        <v>9858</v>
      </c>
      <c r="G35" s="23">
        <v>4095</v>
      </c>
      <c r="H35" s="23">
        <v>1065</v>
      </c>
      <c r="I35" s="23">
        <v>2323</v>
      </c>
      <c r="J35" s="23">
        <v>4615</v>
      </c>
      <c r="K35" s="23">
        <v>3019</v>
      </c>
      <c r="L35" s="23">
        <v>4615</v>
      </c>
      <c r="M35" s="23">
        <v>55798</v>
      </c>
      <c r="N35" s="23">
        <v>48164</v>
      </c>
      <c r="O35" s="23">
        <v>60413</v>
      </c>
    </row>
    <row r="36" spans="1:15" x14ac:dyDescent="0.3">
      <c r="A36" s="21" t="s">
        <v>83</v>
      </c>
      <c r="B36" s="21" t="s">
        <v>31</v>
      </c>
      <c r="C36" s="21" t="s">
        <v>32</v>
      </c>
      <c r="D36" s="21" t="s">
        <v>54</v>
      </c>
      <c r="E36" s="23">
        <v>77580</v>
      </c>
      <c r="F36" s="23">
        <v>20843</v>
      </c>
      <c r="G36" s="23">
        <v>5296</v>
      </c>
      <c r="H36" s="23">
        <v>95</v>
      </c>
      <c r="I36" s="23">
        <v>4667</v>
      </c>
      <c r="J36" s="23">
        <v>9310</v>
      </c>
      <c r="K36" s="23">
        <v>4965</v>
      </c>
      <c r="L36" s="23">
        <v>9310</v>
      </c>
      <c r="M36" s="23">
        <v>108481</v>
      </c>
      <c r="N36" s="23">
        <v>94206</v>
      </c>
      <c r="O36" s="23">
        <v>117791</v>
      </c>
    </row>
    <row r="37" spans="1:15" x14ac:dyDescent="0.3">
      <c r="A37" s="21" t="s">
        <v>84</v>
      </c>
      <c r="B37" s="21" t="s">
        <v>35</v>
      </c>
      <c r="C37" s="21" t="s">
        <v>36</v>
      </c>
      <c r="D37" s="21" t="s">
        <v>33</v>
      </c>
      <c r="E37" s="23">
        <v>72663</v>
      </c>
      <c r="F37" s="23">
        <v>13592</v>
      </c>
      <c r="G37" s="23">
        <v>6901</v>
      </c>
      <c r="H37" s="23">
        <v>154</v>
      </c>
      <c r="I37" s="23">
        <v>2929</v>
      </c>
      <c r="J37" s="23">
        <v>8720</v>
      </c>
      <c r="K37" s="23">
        <v>6688</v>
      </c>
      <c r="L37" s="23">
        <v>8720</v>
      </c>
      <c r="M37" s="23">
        <v>96239</v>
      </c>
      <c r="N37" s="23">
        <v>80831</v>
      </c>
      <c r="O37" s="23">
        <v>104959</v>
      </c>
    </row>
    <row r="38" spans="1:15" x14ac:dyDescent="0.3">
      <c r="A38" s="21" t="s">
        <v>85</v>
      </c>
      <c r="B38" s="21" t="s">
        <v>56</v>
      </c>
      <c r="C38" s="21" t="s">
        <v>86</v>
      </c>
      <c r="D38" s="21" t="s">
        <v>33</v>
      </c>
      <c r="E38" s="23">
        <v>71144</v>
      </c>
      <c r="F38" s="23">
        <v>16066</v>
      </c>
      <c r="G38" s="23">
        <v>6274</v>
      </c>
      <c r="H38" s="23">
        <v>5358</v>
      </c>
      <c r="I38" s="23">
        <v>1931</v>
      </c>
      <c r="J38" s="23">
        <v>8537</v>
      </c>
      <c r="K38" s="23">
        <v>7164</v>
      </c>
      <c r="L38" s="23">
        <v>8537</v>
      </c>
      <c r="M38" s="23">
        <v>100773</v>
      </c>
      <c r="N38" s="23">
        <v>85072</v>
      </c>
      <c r="O38" s="23">
        <v>109310</v>
      </c>
    </row>
    <row r="39" spans="1:15" x14ac:dyDescent="0.3">
      <c r="A39" s="21" t="s">
        <v>87</v>
      </c>
      <c r="B39" s="21" t="s">
        <v>41</v>
      </c>
      <c r="C39" s="21" t="s">
        <v>42</v>
      </c>
      <c r="D39" s="21" t="s">
        <v>54</v>
      </c>
      <c r="E39" s="23">
        <v>48764</v>
      </c>
      <c r="F39" s="23">
        <v>9116</v>
      </c>
      <c r="G39" s="23">
        <v>2782</v>
      </c>
      <c r="H39" s="23">
        <v>71</v>
      </c>
      <c r="I39" s="23">
        <v>472</v>
      </c>
      <c r="J39" s="23">
        <v>5852</v>
      </c>
      <c r="K39" s="23">
        <v>3375</v>
      </c>
      <c r="L39" s="23">
        <v>5852</v>
      </c>
      <c r="M39" s="23">
        <v>61205</v>
      </c>
      <c r="N39" s="23">
        <v>51978</v>
      </c>
      <c r="O39" s="23">
        <v>67057</v>
      </c>
    </row>
    <row r="40" spans="1:15" x14ac:dyDescent="0.3">
      <c r="A40" s="21" t="s">
        <v>88</v>
      </c>
      <c r="B40" s="21" t="s">
        <v>35</v>
      </c>
      <c r="C40" s="21" t="s">
        <v>36</v>
      </c>
      <c r="D40" s="21" t="s">
        <v>54</v>
      </c>
      <c r="E40" s="23">
        <v>68132</v>
      </c>
      <c r="F40" s="23">
        <v>18020</v>
      </c>
      <c r="G40" s="23">
        <v>3518</v>
      </c>
      <c r="H40" s="23">
        <v>4439</v>
      </c>
      <c r="I40" s="23">
        <v>1409</v>
      </c>
      <c r="J40" s="23">
        <v>8176</v>
      </c>
      <c r="K40" s="23">
        <v>2366</v>
      </c>
      <c r="L40" s="23">
        <v>8176</v>
      </c>
      <c r="M40" s="23">
        <v>95518</v>
      </c>
      <c r="N40" s="23">
        <v>84976</v>
      </c>
      <c r="O40" s="23">
        <v>103694</v>
      </c>
    </row>
    <row r="41" spans="1:15" x14ac:dyDescent="0.3">
      <c r="A41" s="21" t="s">
        <v>89</v>
      </c>
      <c r="B41" s="21" t="s">
        <v>38</v>
      </c>
      <c r="C41" s="21" t="s">
        <v>64</v>
      </c>
      <c r="D41" s="21" t="s">
        <v>54</v>
      </c>
      <c r="E41" s="23">
        <v>39338</v>
      </c>
      <c r="F41" s="23">
        <v>10533</v>
      </c>
      <c r="G41" s="23">
        <v>3991</v>
      </c>
      <c r="H41" s="23">
        <v>2529</v>
      </c>
      <c r="I41" s="23">
        <v>1410</v>
      </c>
      <c r="J41" s="23">
        <v>4721</v>
      </c>
      <c r="K41" s="23">
        <v>1627</v>
      </c>
      <c r="L41" s="23">
        <v>4721</v>
      </c>
      <c r="M41" s="23">
        <v>57801</v>
      </c>
      <c r="N41" s="23">
        <v>51453</v>
      </c>
      <c r="O41" s="23">
        <v>62522</v>
      </c>
    </row>
    <row r="42" spans="1:15" x14ac:dyDescent="0.3">
      <c r="A42" s="21" t="s">
        <v>90</v>
      </c>
      <c r="B42" s="21" t="s">
        <v>41</v>
      </c>
      <c r="C42" s="21" t="s">
        <v>59</v>
      </c>
      <c r="D42" s="21" t="s">
        <v>54</v>
      </c>
      <c r="E42" s="23">
        <v>62506</v>
      </c>
      <c r="F42" s="23">
        <v>13830</v>
      </c>
      <c r="G42" s="23">
        <v>4753</v>
      </c>
      <c r="H42" s="23">
        <v>3882</v>
      </c>
      <c r="I42" s="23">
        <v>1704</v>
      </c>
      <c r="J42" s="23">
        <v>7501</v>
      </c>
      <c r="K42" s="23">
        <v>6005</v>
      </c>
      <c r="L42" s="23">
        <v>7501</v>
      </c>
      <c r="M42" s="23">
        <v>86675</v>
      </c>
      <c r="N42" s="23">
        <v>73169</v>
      </c>
      <c r="O42" s="23">
        <v>94176</v>
      </c>
    </row>
    <row r="43" spans="1:15" x14ac:dyDescent="0.3">
      <c r="A43" s="21" t="s">
        <v>91</v>
      </c>
      <c r="B43" s="21" t="s">
        <v>38</v>
      </c>
      <c r="C43" s="21" t="s">
        <v>64</v>
      </c>
      <c r="D43" s="21" t="s">
        <v>54</v>
      </c>
      <c r="E43" s="23">
        <v>48150</v>
      </c>
      <c r="F43" s="23">
        <v>12282</v>
      </c>
      <c r="G43" s="23">
        <v>4951</v>
      </c>
      <c r="H43" s="23">
        <v>397</v>
      </c>
      <c r="I43" s="23">
        <v>4513</v>
      </c>
      <c r="J43" s="23">
        <v>5778</v>
      </c>
      <c r="K43" s="23">
        <v>3246</v>
      </c>
      <c r="L43" s="23">
        <v>5778</v>
      </c>
      <c r="M43" s="23">
        <v>70293</v>
      </c>
      <c r="N43" s="23">
        <v>61269</v>
      </c>
      <c r="O43" s="23">
        <v>76071</v>
      </c>
    </row>
    <row r="44" spans="1:15" x14ac:dyDescent="0.3">
      <c r="A44" s="21" t="s">
        <v>92</v>
      </c>
      <c r="B44" s="21" t="s">
        <v>41</v>
      </c>
      <c r="C44" s="21" t="s">
        <v>42</v>
      </c>
      <c r="D44" s="21" t="s">
        <v>33</v>
      </c>
      <c r="E44" s="23">
        <v>28698</v>
      </c>
      <c r="F44" s="23">
        <v>5453</v>
      </c>
      <c r="G44" s="23">
        <v>1542</v>
      </c>
      <c r="H44" s="23">
        <v>2201</v>
      </c>
      <c r="I44" s="23">
        <v>4236</v>
      </c>
      <c r="J44" s="23">
        <v>3444</v>
      </c>
      <c r="K44" s="23">
        <v>1598</v>
      </c>
      <c r="L44" s="23">
        <v>3444</v>
      </c>
      <c r="M44" s="23">
        <v>42130</v>
      </c>
      <c r="N44" s="23">
        <v>37088</v>
      </c>
      <c r="O44" s="23">
        <v>45574</v>
      </c>
    </row>
    <row r="45" spans="1:15" x14ac:dyDescent="0.3">
      <c r="A45" s="21" t="s">
        <v>93</v>
      </c>
      <c r="B45" s="21" t="s">
        <v>31</v>
      </c>
      <c r="C45" s="21" t="s">
        <v>32</v>
      </c>
      <c r="D45" s="21" t="s">
        <v>29</v>
      </c>
      <c r="E45" s="23">
        <v>77307</v>
      </c>
      <c r="F45" s="23">
        <v>18348</v>
      </c>
      <c r="G45" s="23">
        <v>7285</v>
      </c>
      <c r="H45" s="23">
        <v>2773</v>
      </c>
      <c r="I45" s="23">
        <v>1466</v>
      </c>
      <c r="J45" s="23">
        <v>9277</v>
      </c>
      <c r="K45" s="23">
        <v>3889</v>
      </c>
      <c r="L45" s="23">
        <v>9277</v>
      </c>
      <c r="M45" s="23">
        <v>107179</v>
      </c>
      <c r="N45" s="23">
        <v>94013</v>
      </c>
      <c r="O45" s="23">
        <v>116456</v>
      </c>
    </row>
    <row r="46" spans="1:15" x14ac:dyDescent="0.3">
      <c r="A46" s="21" t="s">
        <v>94</v>
      </c>
      <c r="B46" s="21" t="s">
        <v>56</v>
      </c>
      <c r="C46" s="21" t="s">
        <v>62</v>
      </c>
      <c r="D46" s="21" t="s">
        <v>29</v>
      </c>
      <c r="E46" s="23">
        <v>48020</v>
      </c>
      <c r="F46" s="23">
        <v>12445</v>
      </c>
      <c r="G46" s="23">
        <v>5055</v>
      </c>
      <c r="H46" s="23">
        <v>350</v>
      </c>
      <c r="I46" s="23">
        <v>2472</v>
      </c>
      <c r="J46" s="23">
        <v>5762</v>
      </c>
      <c r="K46" s="23">
        <v>1468</v>
      </c>
      <c r="L46" s="23">
        <v>5762</v>
      </c>
      <c r="M46" s="23">
        <v>68342</v>
      </c>
      <c r="N46" s="23">
        <v>61112</v>
      </c>
      <c r="O46" s="23">
        <v>74104</v>
      </c>
    </row>
    <row r="47" spans="1:15" x14ac:dyDescent="0.3">
      <c r="A47" s="21" t="s">
        <v>95</v>
      </c>
      <c r="B47" s="21" t="s">
        <v>35</v>
      </c>
      <c r="C47" s="21" t="s">
        <v>49</v>
      </c>
      <c r="D47" s="21" t="s">
        <v>54</v>
      </c>
      <c r="E47" s="23">
        <v>51714</v>
      </c>
      <c r="F47" s="23">
        <v>13899</v>
      </c>
      <c r="G47" s="23">
        <v>3856</v>
      </c>
      <c r="H47" s="23">
        <v>484</v>
      </c>
      <c r="I47" s="23">
        <v>715</v>
      </c>
      <c r="J47" s="23">
        <v>6206</v>
      </c>
      <c r="K47" s="23">
        <v>4235</v>
      </c>
      <c r="L47" s="23">
        <v>6206</v>
      </c>
      <c r="M47" s="23">
        <v>70668</v>
      </c>
      <c r="N47" s="23">
        <v>60227</v>
      </c>
      <c r="O47" s="23">
        <v>76874</v>
      </c>
    </row>
    <row r="48" spans="1:15" x14ac:dyDescent="0.3">
      <c r="A48" s="21" t="s">
        <v>96</v>
      </c>
      <c r="B48" s="21" t="s">
        <v>56</v>
      </c>
      <c r="C48" s="21" t="s">
        <v>62</v>
      </c>
      <c r="D48" s="21" t="s">
        <v>54</v>
      </c>
      <c r="E48" s="23">
        <v>29542</v>
      </c>
      <c r="F48" s="23">
        <v>6576</v>
      </c>
      <c r="G48" s="23">
        <v>1937</v>
      </c>
      <c r="H48" s="23">
        <v>937</v>
      </c>
      <c r="I48" s="23">
        <v>4459</v>
      </c>
      <c r="J48" s="23">
        <v>3545</v>
      </c>
      <c r="K48" s="23">
        <v>1149</v>
      </c>
      <c r="L48" s="23">
        <v>3545</v>
      </c>
      <c r="M48" s="23">
        <v>43451</v>
      </c>
      <c r="N48" s="23">
        <v>38757</v>
      </c>
      <c r="O48" s="23">
        <v>46996</v>
      </c>
    </row>
    <row r="49" spans="1:15" x14ac:dyDescent="0.3">
      <c r="A49" s="21" t="s">
        <v>97</v>
      </c>
      <c r="B49" s="21" t="s">
        <v>38</v>
      </c>
      <c r="C49" s="21" t="s">
        <v>64</v>
      </c>
      <c r="D49" s="21" t="s">
        <v>54</v>
      </c>
      <c r="E49" s="23">
        <v>54962</v>
      </c>
      <c r="F49" s="23">
        <v>13088</v>
      </c>
      <c r="G49" s="23">
        <v>6069</v>
      </c>
      <c r="H49" s="23">
        <v>3871</v>
      </c>
      <c r="I49" s="23">
        <v>1183</v>
      </c>
      <c r="J49" s="23">
        <v>6595</v>
      </c>
      <c r="K49" s="23">
        <v>5404</v>
      </c>
      <c r="L49" s="23">
        <v>6595</v>
      </c>
      <c r="M49" s="23">
        <v>79173</v>
      </c>
      <c r="N49" s="23">
        <v>67174</v>
      </c>
      <c r="O49" s="23">
        <v>85768</v>
      </c>
    </row>
    <row r="50" spans="1:15" x14ac:dyDescent="0.3">
      <c r="A50" s="21" t="s">
        <v>98</v>
      </c>
      <c r="B50" s="21" t="s">
        <v>38</v>
      </c>
      <c r="C50" s="21" t="s">
        <v>39</v>
      </c>
      <c r="D50" s="21" t="s">
        <v>29</v>
      </c>
      <c r="E50" s="23">
        <v>31141</v>
      </c>
      <c r="F50" s="23">
        <v>7811</v>
      </c>
      <c r="G50" s="23">
        <v>2607</v>
      </c>
      <c r="H50" s="23">
        <v>942</v>
      </c>
      <c r="I50" s="23">
        <v>3525</v>
      </c>
      <c r="J50" s="23">
        <v>3737</v>
      </c>
      <c r="K50" s="23">
        <v>1477</v>
      </c>
      <c r="L50" s="23">
        <v>3737</v>
      </c>
      <c r="M50" s="23">
        <v>46026</v>
      </c>
      <c r="N50" s="23">
        <v>40812</v>
      </c>
      <c r="O50" s="23">
        <v>49763</v>
      </c>
    </row>
    <row r="51" spans="1:15" x14ac:dyDescent="0.3">
      <c r="A51" s="21" t="s">
        <v>99</v>
      </c>
      <c r="B51" s="21" t="s">
        <v>41</v>
      </c>
      <c r="C51" s="21" t="s">
        <v>42</v>
      </c>
      <c r="D51" s="21" t="s">
        <v>29</v>
      </c>
      <c r="E51" s="23">
        <v>39714</v>
      </c>
      <c r="F51" s="23">
        <v>8156</v>
      </c>
      <c r="G51" s="23">
        <v>3112</v>
      </c>
      <c r="H51" s="23">
        <v>1816</v>
      </c>
      <c r="I51" s="23">
        <v>3705</v>
      </c>
      <c r="J51" s="23">
        <v>4766</v>
      </c>
      <c r="K51" s="23">
        <v>3416</v>
      </c>
      <c r="L51" s="23">
        <v>4766</v>
      </c>
      <c r="M51" s="23">
        <v>56503</v>
      </c>
      <c r="N51" s="23">
        <v>48321</v>
      </c>
      <c r="O51" s="23">
        <v>61269</v>
      </c>
    </row>
    <row r="52" spans="1:15" x14ac:dyDescent="0.3">
      <c r="A52" s="21" t="s">
        <v>100</v>
      </c>
      <c r="B52" s="21" t="s">
        <v>31</v>
      </c>
      <c r="C52" s="21" t="s">
        <v>32</v>
      </c>
      <c r="D52" s="21" t="s">
        <v>33</v>
      </c>
      <c r="E52" s="23">
        <v>59683</v>
      </c>
      <c r="F52" s="23">
        <v>16485</v>
      </c>
      <c r="G52" s="23">
        <v>4550</v>
      </c>
      <c r="H52" s="23">
        <v>1364</v>
      </c>
      <c r="I52" s="23">
        <v>4343</v>
      </c>
      <c r="J52" s="23">
        <v>7162</v>
      </c>
      <c r="K52" s="23">
        <v>2649</v>
      </c>
      <c r="L52" s="23">
        <v>7162</v>
      </c>
      <c r="M52" s="23">
        <v>86425</v>
      </c>
      <c r="N52" s="23">
        <v>76614</v>
      </c>
      <c r="O52" s="23">
        <v>93587</v>
      </c>
    </row>
    <row r="53" spans="1:15" x14ac:dyDescent="0.3">
      <c r="A53" s="21" t="s">
        <v>101</v>
      </c>
      <c r="B53" s="21" t="s">
        <v>35</v>
      </c>
      <c r="C53" s="21" t="s">
        <v>36</v>
      </c>
      <c r="D53" s="21" t="s">
        <v>29</v>
      </c>
      <c r="E53" s="23">
        <v>67700</v>
      </c>
      <c r="F53" s="23">
        <v>12478</v>
      </c>
      <c r="G53" s="23">
        <v>7608</v>
      </c>
      <c r="H53" s="23">
        <v>2858</v>
      </c>
      <c r="I53" s="23">
        <v>4965</v>
      </c>
      <c r="J53" s="23">
        <v>8124</v>
      </c>
      <c r="K53" s="23">
        <v>2137</v>
      </c>
      <c r="L53" s="23">
        <v>8124</v>
      </c>
      <c r="M53" s="23">
        <v>95609</v>
      </c>
      <c r="N53" s="23">
        <v>85348</v>
      </c>
      <c r="O53" s="23">
        <v>103733</v>
      </c>
    </row>
    <row r="54" spans="1:15" x14ac:dyDescent="0.3">
      <c r="A54" s="21" t="s">
        <v>102</v>
      </c>
      <c r="B54" s="21" t="s">
        <v>31</v>
      </c>
      <c r="C54" s="21" t="s">
        <v>32</v>
      </c>
      <c r="D54" s="21" t="s">
        <v>29</v>
      </c>
      <c r="E54" s="23">
        <v>51190</v>
      </c>
      <c r="F54" s="23">
        <v>12436</v>
      </c>
      <c r="G54" s="23">
        <v>5053</v>
      </c>
      <c r="H54" s="23">
        <v>1861</v>
      </c>
      <c r="I54" s="23">
        <v>3138</v>
      </c>
      <c r="J54" s="23">
        <v>6143</v>
      </c>
      <c r="K54" s="23">
        <v>3718</v>
      </c>
      <c r="L54" s="23">
        <v>6143</v>
      </c>
      <c r="M54" s="23">
        <v>73678</v>
      </c>
      <c r="N54" s="23">
        <v>63817</v>
      </c>
      <c r="O54" s="23">
        <v>79821</v>
      </c>
    </row>
    <row r="55" spans="1:15" x14ac:dyDescent="0.3">
      <c r="A55" s="21" t="s">
        <v>103</v>
      </c>
      <c r="B55" s="21" t="s">
        <v>31</v>
      </c>
      <c r="C55" s="21" t="s">
        <v>46</v>
      </c>
      <c r="D55" s="21" t="s">
        <v>33</v>
      </c>
      <c r="E55" s="23">
        <v>41323</v>
      </c>
      <c r="F55" s="23">
        <v>11400</v>
      </c>
      <c r="G55" s="23">
        <v>2234</v>
      </c>
      <c r="H55" s="23">
        <v>1304</v>
      </c>
      <c r="I55" s="23">
        <v>534</v>
      </c>
      <c r="J55" s="23">
        <v>4959</v>
      </c>
      <c r="K55" s="23">
        <v>2081</v>
      </c>
      <c r="L55" s="23">
        <v>4959</v>
      </c>
      <c r="M55" s="23">
        <v>56795</v>
      </c>
      <c r="N55" s="23">
        <v>49755</v>
      </c>
      <c r="O55" s="23">
        <v>61754</v>
      </c>
    </row>
    <row r="56" spans="1:15" x14ac:dyDescent="0.3">
      <c r="A56" s="21" t="s">
        <v>104</v>
      </c>
      <c r="B56" s="21" t="s">
        <v>38</v>
      </c>
      <c r="C56" s="21" t="s">
        <v>64</v>
      </c>
      <c r="D56" s="21" t="s">
        <v>29</v>
      </c>
      <c r="E56" s="23">
        <v>56761</v>
      </c>
      <c r="F56" s="23">
        <v>12421</v>
      </c>
      <c r="G56" s="23">
        <v>3749</v>
      </c>
      <c r="H56" s="23">
        <v>1208</v>
      </c>
      <c r="I56" s="23">
        <v>1802</v>
      </c>
      <c r="J56" s="23">
        <v>6811</v>
      </c>
      <c r="K56" s="23">
        <v>2461</v>
      </c>
      <c r="L56" s="23">
        <v>6811</v>
      </c>
      <c r="M56" s="23">
        <v>75941</v>
      </c>
      <c r="N56" s="23">
        <v>66669</v>
      </c>
      <c r="O56" s="23">
        <v>82752</v>
      </c>
    </row>
    <row r="57" spans="1:15" x14ac:dyDescent="0.3">
      <c r="A57" s="21" t="s">
        <v>105</v>
      </c>
      <c r="B57" s="21" t="s">
        <v>31</v>
      </c>
      <c r="C57" s="21" t="s">
        <v>32</v>
      </c>
      <c r="D57" s="21" t="s">
        <v>33</v>
      </c>
      <c r="E57" s="23">
        <v>58216</v>
      </c>
      <c r="F57" s="23">
        <v>12873</v>
      </c>
      <c r="G57" s="23">
        <v>5367</v>
      </c>
      <c r="H57" s="23">
        <v>1262</v>
      </c>
      <c r="I57" s="23">
        <v>666</v>
      </c>
      <c r="J57" s="23">
        <v>6986</v>
      </c>
      <c r="K57" s="23">
        <v>1754</v>
      </c>
      <c r="L57" s="23">
        <v>6986</v>
      </c>
      <c r="M57" s="23">
        <v>78384</v>
      </c>
      <c r="N57" s="23">
        <v>69644</v>
      </c>
      <c r="O57" s="23">
        <v>85370</v>
      </c>
    </row>
    <row r="58" spans="1:15" x14ac:dyDescent="0.3">
      <c r="A58" s="21" t="s">
        <v>106</v>
      </c>
      <c r="B58" s="21" t="s">
        <v>41</v>
      </c>
      <c r="C58" s="21" t="s">
        <v>107</v>
      </c>
      <c r="D58" s="21" t="s">
        <v>54</v>
      </c>
      <c r="E58" s="23">
        <v>119407</v>
      </c>
      <c r="F58" s="23">
        <v>28433</v>
      </c>
      <c r="G58" s="23">
        <v>13653</v>
      </c>
      <c r="H58" s="23">
        <v>790</v>
      </c>
      <c r="I58" s="23">
        <v>4383</v>
      </c>
      <c r="J58" s="23">
        <v>14329</v>
      </c>
      <c r="K58" s="23">
        <v>8088</v>
      </c>
      <c r="L58" s="23">
        <v>14329</v>
      </c>
      <c r="M58" s="23">
        <v>166666</v>
      </c>
      <c r="N58" s="23">
        <v>144249</v>
      </c>
      <c r="O58" s="23">
        <v>180995</v>
      </c>
    </row>
    <row r="59" spans="1:15" x14ac:dyDescent="0.3">
      <c r="A59" s="21" t="s">
        <v>108</v>
      </c>
      <c r="B59" s="21" t="s">
        <v>41</v>
      </c>
      <c r="C59" s="21" t="s">
        <v>42</v>
      </c>
      <c r="D59" s="21" t="s">
        <v>54</v>
      </c>
      <c r="E59" s="23">
        <v>54400</v>
      </c>
      <c r="F59" s="23">
        <v>14022</v>
      </c>
      <c r="G59" s="23">
        <v>4549</v>
      </c>
      <c r="H59" s="23">
        <v>4288</v>
      </c>
      <c r="I59" s="23">
        <v>1884</v>
      </c>
      <c r="J59" s="23">
        <v>6528</v>
      </c>
      <c r="K59" s="23">
        <v>4718</v>
      </c>
      <c r="L59" s="23">
        <v>6528</v>
      </c>
      <c r="M59" s="23">
        <v>79143</v>
      </c>
      <c r="N59" s="23">
        <v>67897</v>
      </c>
      <c r="O59" s="23">
        <v>85671</v>
      </c>
    </row>
    <row r="60" spans="1:15" x14ac:dyDescent="0.3">
      <c r="A60" s="21" t="s">
        <v>109</v>
      </c>
      <c r="B60" s="21" t="s">
        <v>41</v>
      </c>
      <c r="C60" s="21" t="s">
        <v>107</v>
      </c>
      <c r="D60" s="21" t="s">
        <v>29</v>
      </c>
      <c r="E60" s="23">
        <v>76938</v>
      </c>
      <c r="F60" s="23">
        <v>18227</v>
      </c>
      <c r="G60" s="23">
        <v>4189</v>
      </c>
      <c r="H60" s="23">
        <v>227</v>
      </c>
      <c r="I60" s="23">
        <v>669</v>
      </c>
      <c r="J60" s="23">
        <v>9233</v>
      </c>
      <c r="K60" s="23">
        <v>1895</v>
      </c>
      <c r="L60" s="23">
        <v>9233</v>
      </c>
      <c r="M60" s="23">
        <v>100250</v>
      </c>
      <c r="N60" s="23">
        <v>89122</v>
      </c>
      <c r="O60" s="23">
        <v>109483</v>
      </c>
    </row>
    <row r="61" spans="1:15" x14ac:dyDescent="0.3">
      <c r="A61" s="21" t="s">
        <v>110</v>
      </c>
      <c r="B61" s="21" t="s">
        <v>27</v>
      </c>
      <c r="C61" s="21" t="s">
        <v>72</v>
      </c>
      <c r="D61" s="21" t="s">
        <v>33</v>
      </c>
      <c r="E61" s="23">
        <v>63384</v>
      </c>
      <c r="F61" s="23">
        <v>14796</v>
      </c>
      <c r="G61" s="23">
        <v>6496</v>
      </c>
      <c r="H61" s="23">
        <v>4630</v>
      </c>
      <c r="I61" s="23">
        <v>2926</v>
      </c>
      <c r="J61" s="23">
        <v>7606</v>
      </c>
      <c r="K61" s="23">
        <v>5379</v>
      </c>
      <c r="L61" s="23">
        <v>7606</v>
      </c>
      <c r="M61" s="23">
        <v>92232</v>
      </c>
      <c r="N61" s="23">
        <v>79247</v>
      </c>
      <c r="O61" s="23">
        <v>99838</v>
      </c>
    </row>
    <row r="62" spans="1:15" x14ac:dyDescent="0.3">
      <c r="A62" s="21" t="s">
        <v>111</v>
      </c>
      <c r="B62" s="21" t="s">
        <v>27</v>
      </c>
      <c r="C62" s="21" t="s">
        <v>72</v>
      </c>
      <c r="D62" s="21" t="s">
        <v>54</v>
      </c>
      <c r="E62" s="23">
        <v>58456</v>
      </c>
      <c r="F62" s="23">
        <v>11931</v>
      </c>
      <c r="G62" s="23">
        <v>3762</v>
      </c>
      <c r="H62" s="23">
        <v>1176</v>
      </c>
      <c r="I62" s="23">
        <v>1374</v>
      </c>
      <c r="J62" s="23">
        <v>7015</v>
      </c>
      <c r="K62" s="23">
        <v>2260</v>
      </c>
      <c r="L62" s="23">
        <v>7015</v>
      </c>
      <c r="M62" s="23">
        <v>76699</v>
      </c>
      <c r="N62" s="23">
        <v>67424</v>
      </c>
      <c r="O62" s="23">
        <v>83714</v>
      </c>
    </row>
    <row r="63" spans="1:15" x14ac:dyDescent="0.3">
      <c r="A63" s="21" t="s">
        <v>112</v>
      </c>
      <c r="B63" s="21" t="s">
        <v>56</v>
      </c>
      <c r="C63" s="21" t="s">
        <v>86</v>
      </c>
      <c r="D63" s="21" t="s">
        <v>29</v>
      </c>
      <c r="E63" s="23">
        <v>71657</v>
      </c>
      <c r="F63" s="23">
        <v>15465</v>
      </c>
      <c r="G63" s="23">
        <v>4152</v>
      </c>
      <c r="H63" s="23">
        <v>3850</v>
      </c>
      <c r="I63" s="23">
        <v>2602</v>
      </c>
      <c r="J63" s="23">
        <v>8599</v>
      </c>
      <c r="K63" s="23">
        <v>5913</v>
      </c>
      <c r="L63" s="23">
        <v>8599</v>
      </c>
      <c r="M63" s="23">
        <v>97726</v>
      </c>
      <c r="N63" s="23">
        <v>83214</v>
      </c>
      <c r="O63" s="23">
        <v>106325</v>
      </c>
    </row>
    <row r="64" spans="1:15" x14ac:dyDescent="0.3">
      <c r="A64" s="21" t="s">
        <v>113</v>
      </c>
      <c r="B64" s="21" t="s">
        <v>35</v>
      </c>
      <c r="C64" s="21" t="s">
        <v>49</v>
      </c>
      <c r="D64" s="21" t="s">
        <v>29</v>
      </c>
      <c r="E64" s="23">
        <v>38176</v>
      </c>
      <c r="F64" s="23">
        <v>8979</v>
      </c>
      <c r="G64" s="23">
        <v>3408</v>
      </c>
      <c r="H64" s="23">
        <v>2677</v>
      </c>
      <c r="I64" s="23">
        <v>2017</v>
      </c>
      <c r="J64" s="23">
        <v>4581</v>
      </c>
      <c r="K64" s="23">
        <v>1421</v>
      </c>
      <c r="L64" s="23">
        <v>4581</v>
      </c>
      <c r="M64" s="23">
        <v>55257</v>
      </c>
      <c r="N64" s="23">
        <v>49255</v>
      </c>
      <c r="O64" s="23">
        <v>59838</v>
      </c>
    </row>
    <row r="65" spans="1:15" x14ac:dyDescent="0.3">
      <c r="A65" s="21" t="s">
        <v>114</v>
      </c>
      <c r="B65" s="21" t="s">
        <v>27</v>
      </c>
      <c r="C65" s="21" t="s">
        <v>28</v>
      </c>
      <c r="D65" s="21" t="s">
        <v>33</v>
      </c>
      <c r="E65" s="23">
        <v>29252</v>
      </c>
      <c r="F65" s="23">
        <v>7080</v>
      </c>
      <c r="G65" s="23">
        <v>2904</v>
      </c>
      <c r="H65" s="23">
        <v>498</v>
      </c>
      <c r="I65" s="23">
        <v>682</v>
      </c>
      <c r="J65" s="23">
        <v>3510</v>
      </c>
      <c r="K65" s="23">
        <v>770</v>
      </c>
      <c r="L65" s="23">
        <v>3510</v>
      </c>
      <c r="M65" s="23">
        <v>40416</v>
      </c>
      <c r="N65" s="23">
        <v>36136</v>
      </c>
      <c r="O65" s="23">
        <v>43926</v>
      </c>
    </row>
    <row r="66" spans="1:15" x14ac:dyDescent="0.3">
      <c r="A66" s="21" t="s">
        <v>115</v>
      </c>
      <c r="B66" s="21" t="s">
        <v>56</v>
      </c>
      <c r="C66" s="21" t="s">
        <v>86</v>
      </c>
      <c r="D66" s="21" t="s">
        <v>29</v>
      </c>
      <c r="E66" s="23">
        <v>53017</v>
      </c>
      <c r="F66" s="23">
        <v>11623</v>
      </c>
      <c r="G66" s="23">
        <v>4274</v>
      </c>
      <c r="H66" s="23">
        <v>3835</v>
      </c>
      <c r="I66" s="23">
        <v>1741</v>
      </c>
      <c r="J66" s="23">
        <v>6362</v>
      </c>
      <c r="K66" s="23">
        <v>3464</v>
      </c>
      <c r="L66" s="23">
        <v>6362</v>
      </c>
      <c r="M66" s="23">
        <v>74490</v>
      </c>
      <c r="N66" s="23">
        <v>64664</v>
      </c>
      <c r="O66" s="23">
        <v>80852</v>
      </c>
    </row>
    <row r="67" spans="1:15" x14ac:dyDescent="0.3">
      <c r="A67" s="21" t="s">
        <v>116</v>
      </c>
      <c r="B67" s="21" t="s">
        <v>38</v>
      </c>
      <c r="C67" s="21" t="s">
        <v>64</v>
      </c>
      <c r="D67" s="21" t="s">
        <v>54</v>
      </c>
      <c r="E67" s="23">
        <v>32854</v>
      </c>
      <c r="F67" s="23">
        <v>7634</v>
      </c>
      <c r="G67" s="23">
        <v>3247</v>
      </c>
      <c r="H67" s="23">
        <v>2093</v>
      </c>
      <c r="I67" s="23">
        <v>2297</v>
      </c>
      <c r="J67" s="23">
        <v>3942</v>
      </c>
      <c r="K67" s="23">
        <v>3116</v>
      </c>
      <c r="L67" s="23">
        <v>3942</v>
      </c>
      <c r="M67" s="23">
        <v>48125</v>
      </c>
      <c r="N67" s="23">
        <v>41067</v>
      </c>
      <c r="O67" s="23">
        <v>52067</v>
      </c>
    </row>
    <row r="68" spans="1:15" x14ac:dyDescent="0.3">
      <c r="A68" s="21" t="s">
        <v>117</v>
      </c>
      <c r="B68" s="21" t="s">
        <v>41</v>
      </c>
      <c r="C68" s="21" t="s">
        <v>42</v>
      </c>
      <c r="D68" s="21" t="s">
        <v>29</v>
      </c>
      <c r="E68" s="23">
        <v>55607</v>
      </c>
      <c r="F68" s="23">
        <v>10264</v>
      </c>
      <c r="G68" s="23">
        <v>5197</v>
      </c>
      <c r="H68" s="23">
        <v>1545</v>
      </c>
      <c r="I68" s="23">
        <v>1046</v>
      </c>
      <c r="J68" s="23">
        <v>6673</v>
      </c>
      <c r="K68" s="23">
        <v>3669</v>
      </c>
      <c r="L68" s="23">
        <v>6673</v>
      </c>
      <c r="M68" s="23">
        <v>73659</v>
      </c>
      <c r="N68" s="23">
        <v>63317</v>
      </c>
      <c r="O68" s="23">
        <v>80332</v>
      </c>
    </row>
    <row r="69" spans="1:15" x14ac:dyDescent="0.3">
      <c r="A69" s="21" t="s">
        <v>118</v>
      </c>
      <c r="B69" s="21" t="s">
        <v>35</v>
      </c>
      <c r="C69" s="21" t="s">
        <v>49</v>
      </c>
      <c r="D69" s="21" t="s">
        <v>54</v>
      </c>
      <c r="E69" s="23">
        <v>45144</v>
      </c>
      <c r="F69" s="23">
        <v>10203</v>
      </c>
      <c r="G69" s="23">
        <v>4105</v>
      </c>
      <c r="H69" s="23">
        <v>1446</v>
      </c>
      <c r="I69" s="23">
        <v>3488</v>
      </c>
      <c r="J69" s="23">
        <v>5417</v>
      </c>
      <c r="K69" s="23">
        <v>1816</v>
      </c>
      <c r="L69" s="23">
        <v>5417</v>
      </c>
      <c r="M69" s="23">
        <v>64386</v>
      </c>
      <c r="N69" s="23">
        <v>57153</v>
      </c>
      <c r="O69" s="23">
        <v>69803</v>
      </c>
    </row>
    <row r="70" spans="1:15" x14ac:dyDescent="0.3">
      <c r="A70" s="21" t="s">
        <v>119</v>
      </c>
      <c r="B70" s="21" t="s">
        <v>41</v>
      </c>
      <c r="C70" s="21" t="s">
        <v>59</v>
      </c>
      <c r="D70" s="21" t="s">
        <v>33</v>
      </c>
      <c r="E70" s="23">
        <v>78434</v>
      </c>
      <c r="F70" s="23">
        <v>19354</v>
      </c>
      <c r="G70" s="23">
        <v>4868</v>
      </c>
      <c r="H70" s="23">
        <v>1207</v>
      </c>
      <c r="I70" s="23">
        <v>204</v>
      </c>
      <c r="J70" s="23">
        <v>9412</v>
      </c>
      <c r="K70" s="23">
        <v>2853</v>
      </c>
      <c r="L70" s="23">
        <v>9412</v>
      </c>
      <c r="M70" s="23">
        <v>104067</v>
      </c>
      <c r="N70" s="23">
        <v>91802</v>
      </c>
      <c r="O70" s="23">
        <v>113479</v>
      </c>
    </row>
    <row r="71" spans="1:15" x14ac:dyDescent="0.3">
      <c r="A71" s="21" t="s">
        <v>120</v>
      </c>
      <c r="B71" s="21" t="s">
        <v>31</v>
      </c>
      <c r="C71" s="21" t="s">
        <v>46</v>
      </c>
      <c r="D71" s="21" t="s">
        <v>33</v>
      </c>
      <c r="E71" s="23">
        <v>41716</v>
      </c>
      <c r="F71" s="23">
        <v>9798</v>
      </c>
      <c r="G71" s="23">
        <v>3646</v>
      </c>
      <c r="H71" s="23">
        <v>1188</v>
      </c>
      <c r="I71" s="23">
        <v>4471</v>
      </c>
      <c r="J71" s="23">
        <v>5006</v>
      </c>
      <c r="K71" s="23">
        <v>1547</v>
      </c>
      <c r="L71" s="23">
        <v>5006</v>
      </c>
      <c r="M71" s="23">
        <v>60819</v>
      </c>
      <c r="N71" s="23">
        <v>54266</v>
      </c>
      <c r="O71" s="23">
        <v>65825</v>
      </c>
    </row>
    <row r="72" spans="1:15" x14ac:dyDescent="0.3">
      <c r="A72" s="21" t="s">
        <v>121</v>
      </c>
      <c r="B72" s="21" t="s">
        <v>35</v>
      </c>
      <c r="C72" s="21" t="s">
        <v>36</v>
      </c>
      <c r="D72" s="21" t="s">
        <v>54</v>
      </c>
      <c r="E72" s="23">
        <v>68624</v>
      </c>
      <c r="F72" s="23">
        <v>12986</v>
      </c>
      <c r="G72" s="23">
        <v>5742</v>
      </c>
      <c r="H72" s="23">
        <v>3776</v>
      </c>
      <c r="I72" s="23">
        <v>2558</v>
      </c>
      <c r="J72" s="23">
        <v>8235</v>
      </c>
      <c r="K72" s="23">
        <v>2514</v>
      </c>
      <c r="L72" s="23">
        <v>8235</v>
      </c>
      <c r="M72" s="23">
        <v>93686</v>
      </c>
      <c r="N72" s="23">
        <v>82937</v>
      </c>
      <c r="O72" s="23">
        <v>101921</v>
      </c>
    </row>
    <row r="73" spans="1:15" x14ac:dyDescent="0.3">
      <c r="A73" s="21" t="s">
        <v>122</v>
      </c>
      <c r="B73" s="21" t="s">
        <v>41</v>
      </c>
      <c r="C73" s="21" t="s">
        <v>42</v>
      </c>
      <c r="D73" s="21" t="s">
        <v>33</v>
      </c>
      <c r="E73" s="23">
        <v>59523</v>
      </c>
      <c r="F73" s="23">
        <v>15513</v>
      </c>
      <c r="G73" s="23">
        <v>6094</v>
      </c>
      <c r="H73" s="23">
        <v>879</v>
      </c>
      <c r="I73" s="23">
        <v>1047</v>
      </c>
      <c r="J73" s="23">
        <v>7143</v>
      </c>
      <c r="K73" s="23">
        <v>3206</v>
      </c>
      <c r="L73" s="23">
        <v>7143</v>
      </c>
      <c r="M73" s="23">
        <v>83056</v>
      </c>
      <c r="N73" s="23">
        <v>72707</v>
      </c>
      <c r="O73" s="23">
        <v>90199</v>
      </c>
    </row>
    <row r="74" spans="1:15" x14ac:dyDescent="0.3">
      <c r="A74" s="21" t="s">
        <v>123</v>
      </c>
      <c r="B74" s="21" t="s">
        <v>41</v>
      </c>
      <c r="C74" s="21" t="s">
        <v>42</v>
      </c>
      <c r="D74" s="21" t="s">
        <v>29</v>
      </c>
      <c r="E74" s="23">
        <v>56699</v>
      </c>
      <c r="F74" s="23">
        <v>12298</v>
      </c>
      <c r="G74" s="23">
        <v>4671</v>
      </c>
      <c r="H74" s="23">
        <v>3390</v>
      </c>
      <c r="I74" s="23">
        <v>183</v>
      </c>
      <c r="J74" s="23">
        <v>6804</v>
      </c>
      <c r="K74" s="23">
        <v>2476</v>
      </c>
      <c r="L74" s="23">
        <v>6804</v>
      </c>
      <c r="M74" s="23">
        <v>77241</v>
      </c>
      <c r="N74" s="23">
        <v>67961</v>
      </c>
      <c r="O74" s="23">
        <v>84045</v>
      </c>
    </row>
    <row r="75" spans="1:15" x14ac:dyDescent="0.3">
      <c r="A75" s="21" t="s">
        <v>124</v>
      </c>
      <c r="B75" s="21" t="s">
        <v>35</v>
      </c>
      <c r="C75" s="21" t="s">
        <v>36</v>
      </c>
      <c r="D75" s="21" t="s">
        <v>29</v>
      </c>
      <c r="E75" s="23">
        <v>62302</v>
      </c>
      <c r="F75" s="23">
        <v>14402</v>
      </c>
      <c r="G75" s="23">
        <v>5436</v>
      </c>
      <c r="H75" s="23">
        <v>534</v>
      </c>
      <c r="I75" s="23">
        <v>2237</v>
      </c>
      <c r="J75" s="23">
        <v>7476</v>
      </c>
      <c r="K75" s="23">
        <v>4023</v>
      </c>
      <c r="L75" s="23">
        <v>7476</v>
      </c>
      <c r="M75" s="23">
        <v>84911</v>
      </c>
      <c r="N75" s="23">
        <v>73412</v>
      </c>
      <c r="O75" s="23">
        <v>92387</v>
      </c>
    </row>
    <row r="76" spans="1:15" x14ac:dyDescent="0.3">
      <c r="A76" s="21" t="s">
        <v>125</v>
      </c>
      <c r="B76" s="21" t="s">
        <v>35</v>
      </c>
      <c r="C76" s="21" t="s">
        <v>49</v>
      </c>
      <c r="D76" s="21" t="s">
        <v>54</v>
      </c>
      <c r="E76" s="23">
        <v>33750</v>
      </c>
      <c r="F76" s="23">
        <v>7348</v>
      </c>
      <c r="G76" s="23">
        <v>1735</v>
      </c>
      <c r="H76" s="23">
        <v>870</v>
      </c>
      <c r="I76" s="23">
        <v>1057</v>
      </c>
      <c r="J76" s="23">
        <v>4050</v>
      </c>
      <c r="K76" s="23">
        <v>1614</v>
      </c>
      <c r="L76" s="23">
        <v>4050</v>
      </c>
      <c r="M76" s="23">
        <v>44760</v>
      </c>
      <c r="N76" s="23">
        <v>39096</v>
      </c>
      <c r="O76" s="23">
        <v>48810</v>
      </c>
    </row>
    <row r="77" spans="1:15" x14ac:dyDescent="0.3">
      <c r="A77" s="21" t="s">
        <v>126</v>
      </c>
      <c r="B77" s="21" t="s">
        <v>35</v>
      </c>
      <c r="C77" s="21" t="s">
        <v>36</v>
      </c>
      <c r="D77" s="21" t="s">
        <v>33</v>
      </c>
      <c r="E77" s="23">
        <v>51168</v>
      </c>
      <c r="F77" s="23">
        <v>12685</v>
      </c>
      <c r="G77" s="23">
        <v>5385</v>
      </c>
      <c r="H77" s="23">
        <v>2040</v>
      </c>
      <c r="I77" s="23">
        <v>435</v>
      </c>
      <c r="J77" s="23">
        <v>6140</v>
      </c>
      <c r="K77" s="23">
        <v>3425</v>
      </c>
      <c r="L77" s="23">
        <v>6140</v>
      </c>
      <c r="M77" s="23">
        <v>71713</v>
      </c>
      <c r="N77" s="23">
        <v>62148</v>
      </c>
      <c r="O77" s="23">
        <v>77853</v>
      </c>
    </row>
    <row r="78" spans="1:15" x14ac:dyDescent="0.3">
      <c r="A78" s="21" t="s">
        <v>127</v>
      </c>
      <c r="B78" s="21" t="s">
        <v>35</v>
      </c>
      <c r="C78" s="21" t="s">
        <v>36</v>
      </c>
      <c r="D78" s="21" t="s">
        <v>33</v>
      </c>
      <c r="E78" s="23">
        <v>57199</v>
      </c>
      <c r="F78" s="23">
        <v>12765</v>
      </c>
      <c r="G78" s="23">
        <v>3371</v>
      </c>
      <c r="H78" s="23">
        <v>1299</v>
      </c>
      <c r="I78" s="23">
        <v>1815</v>
      </c>
      <c r="J78" s="23">
        <v>6864</v>
      </c>
      <c r="K78" s="23">
        <v>4088</v>
      </c>
      <c r="L78" s="23">
        <v>6864</v>
      </c>
      <c r="M78" s="23">
        <v>76449</v>
      </c>
      <c r="N78" s="23">
        <v>65497</v>
      </c>
      <c r="O78" s="23">
        <v>83313</v>
      </c>
    </row>
    <row r="79" spans="1:15" x14ac:dyDescent="0.3">
      <c r="A79" s="21" t="s">
        <v>128</v>
      </c>
      <c r="B79" s="21" t="s">
        <v>41</v>
      </c>
      <c r="C79" s="21" t="s">
        <v>42</v>
      </c>
      <c r="D79" s="21" t="s">
        <v>29</v>
      </c>
      <c r="E79" s="23">
        <v>38554</v>
      </c>
      <c r="F79" s="23">
        <v>10743</v>
      </c>
      <c r="G79" s="23">
        <v>3563</v>
      </c>
      <c r="H79" s="23">
        <v>732</v>
      </c>
      <c r="I79" s="23">
        <v>509</v>
      </c>
      <c r="J79" s="23">
        <v>4626</v>
      </c>
      <c r="K79" s="23">
        <v>1443</v>
      </c>
      <c r="L79" s="23">
        <v>4626</v>
      </c>
      <c r="M79" s="23">
        <v>54101</v>
      </c>
      <c r="N79" s="23">
        <v>48032</v>
      </c>
      <c r="O79" s="23">
        <v>58727</v>
      </c>
    </row>
    <row r="80" spans="1:15" x14ac:dyDescent="0.3">
      <c r="A80" s="21" t="s">
        <v>129</v>
      </c>
      <c r="B80" s="21" t="s">
        <v>27</v>
      </c>
      <c r="C80" s="21" t="s">
        <v>28</v>
      </c>
      <c r="D80" s="21" t="s">
        <v>29</v>
      </c>
      <c r="E80" s="23">
        <v>39613</v>
      </c>
      <c r="F80" s="23">
        <v>7869</v>
      </c>
      <c r="G80" s="23">
        <v>2771</v>
      </c>
      <c r="H80" s="23">
        <v>549</v>
      </c>
      <c r="I80" s="23">
        <v>4484</v>
      </c>
      <c r="J80" s="23">
        <v>4754</v>
      </c>
      <c r="K80" s="23">
        <v>1254</v>
      </c>
      <c r="L80" s="23">
        <v>4754</v>
      </c>
      <c r="M80" s="23">
        <v>55286</v>
      </c>
      <c r="N80" s="23">
        <v>49278</v>
      </c>
      <c r="O80" s="23">
        <v>60040</v>
      </c>
    </row>
    <row r="81" spans="1:17" x14ac:dyDescent="0.3">
      <c r="A81" s="21" t="s">
        <v>130</v>
      </c>
      <c r="B81" s="21" t="s">
        <v>41</v>
      </c>
      <c r="C81" s="21" t="s">
        <v>42</v>
      </c>
      <c r="D81" s="21" t="s">
        <v>33</v>
      </c>
      <c r="E81" s="23">
        <v>32324</v>
      </c>
      <c r="F81" s="23">
        <v>8994</v>
      </c>
      <c r="G81" s="23">
        <v>1870</v>
      </c>
      <c r="H81" s="23">
        <v>1029</v>
      </c>
      <c r="I81" s="23">
        <v>4847</v>
      </c>
      <c r="J81" s="23">
        <v>3879</v>
      </c>
      <c r="K81" s="23">
        <v>3250</v>
      </c>
      <c r="L81" s="23">
        <v>3879</v>
      </c>
      <c r="M81" s="23">
        <v>49064</v>
      </c>
      <c r="N81" s="23">
        <v>41935</v>
      </c>
      <c r="O81" s="23">
        <v>52943</v>
      </c>
    </row>
    <row r="82" spans="1:17" x14ac:dyDescent="0.3">
      <c r="A82" s="21" t="s">
        <v>131</v>
      </c>
      <c r="B82" s="21" t="s">
        <v>31</v>
      </c>
      <c r="C82" s="21" t="s">
        <v>52</v>
      </c>
      <c r="D82" s="21" t="s">
        <v>29</v>
      </c>
      <c r="E82" s="23">
        <v>116685</v>
      </c>
      <c r="F82" s="23">
        <v>22997</v>
      </c>
      <c r="G82" s="23">
        <v>11296</v>
      </c>
      <c r="H82" s="23">
        <v>8676</v>
      </c>
      <c r="I82" s="23">
        <v>2784</v>
      </c>
      <c r="J82" s="23">
        <v>14002</v>
      </c>
      <c r="K82" s="23">
        <v>8060</v>
      </c>
      <c r="L82" s="23">
        <v>14002</v>
      </c>
      <c r="M82" s="23">
        <v>162438</v>
      </c>
      <c r="N82" s="23">
        <v>140376</v>
      </c>
      <c r="O82" s="23">
        <v>176440</v>
      </c>
    </row>
    <row r="83" spans="1:17" x14ac:dyDescent="0.3">
      <c r="A83" s="21" t="s">
        <v>132</v>
      </c>
      <c r="B83" s="21" t="s">
        <v>38</v>
      </c>
      <c r="C83" s="21" t="s">
        <v>39</v>
      </c>
      <c r="D83" s="21" t="s">
        <v>29</v>
      </c>
      <c r="E83" s="23">
        <v>58340</v>
      </c>
      <c r="F83" s="23">
        <v>11592</v>
      </c>
      <c r="G83" s="23">
        <v>4239</v>
      </c>
      <c r="H83" s="23">
        <v>1986</v>
      </c>
      <c r="I83" s="23">
        <v>2538</v>
      </c>
      <c r="J83" s="23">
        <v>7001</v>
      </c>
      <c r="K83" s="23">
        <v>2477</v>
      </c>
      <c r="L83" s="23">
        <v>7001</v>
      </c>
      <c r="M83" s="23">
        <v>78695</v>
      </c>
      <c r="N83" s="23">
        <v>69217</v>
      </c>
      <c r="O83" s="23">
        <v>85696</v>
      </c>
    </row>
    <row r="84" spans="1:17" x14ac:dyDescent="0.3">
      <c r="A84" s="21" t="s">
        <v>133</v>
      </c>
      <c r="B84" s="21" t="s">
        <v>27</v>
      </c>
      <c r="C84" s="21" t="s">
        <v>72</v>
      </c>
      <c r="D84" s="21" t="s">
        <v>54</v>
      </c>
      <c r="E84" s="23">
        <v>57941</v>
      </c>
      <c r="F84" s="23">
        <v>12102</v>
      </c>
      <c r="G84" s="23">
        <v>5254</v>
      </c>
      <c r="H84" s="23">
        <v>716</v>
      </c>
      <c r="I84" s="23">
        <v>2406</v>
      </c>
      <c r="J84" s="23">
        <v>6953</v>
      </c>
      <c r="K84" s="23">
        <v>3713</v>
      </c>
      <c r="L84" s="23">
        <v>6953</v>
      </c>
      <c r="M84" s="23">
        <v>78419</v>
      </c>
      <c r="N84" s="23">
        <v>67753</v>
      </c>
      <c r="O84" s="23">
        <v>85372</v>
      </c>
    </row>
    <row r="85" spans="1:17" x14ac:dyDescent="0.3">
      <c r="A85" s="21" t="s">
        <v>134</v>
      </c>
      <c r="B85" s="21" t="s">
        <v>41</v>
      </c>
      <c r="C85" s="21" t="s">
        <v>42</v>
      </c>
      <c r="D85" s="21" t="s">
        <v>54</v>
      </c>
      <c r="E85" s="23">
        <v>54615</v>
      </c>
      <c r="F85" s="23">
        <v>10565</v>
      </c>
      <c r="G85" s="23">
        <v>2973</v>
      </c>
      <c r="H85" s="23">
        <v>4325</v>
      </c>
      <c r="I85" s="23">
        <v>1612</v>
      </c>
      <c r="J85" s="23">
        <v>6554</v>
      </c>
      <c r="K85" s="23">
        <v>4632</v>
      </c>
      <c r="L85" s="23">
        <v>6554</v>
      </c>
      <c r="M85" s="23">
        <v>74090</v>
      </c>
      <c r="N85" s="23">
        <v>62904</v>
      </c>
      <c r="O85" s="23">
        <v>80644</v>
      </c>
    </row>
    <row r="86" spans="1:17" x14ac:dyDescent="0.3">
      <c r="A86" s="21" t="s">
        <v>135</v>
      </c>
      <c r="B86" s="21" t="s">
        <v>56</v>
      </c>
      <c r="C86" s="21" t="s">
        <v>62</v>
      </c>
      <c r="D86" s="21" t="s">
        <v>54</v>
      </c>
      <c r="E86" s="23">
        <v>38568</v>
      </c>
      <c r="F86" s="23">
        <v>9874</v>
      </c>
      <c r="G86" s="23">
        <v>3536</v>
      </c>
      <c r="H86" s="23">
        <v>1455</v>
      </c>
      <c r="I86" s="23">
        <v>2059</v>
      </c>
      <c r="J86" s="23">
        <v>4628</v>
      </c>
      <c r="K86" s="23">
        <v>2082</v>
      </c>
      <c r="L86" s="23">
        <v>4628</v>
      </c>
      <c r="M86" s="23">
        <v>55492</v>
      </c>
      <c r="N86" s="23">
        <v>48782</v>
      </c>
      <c r="O86" s="23">
        <v>60120</v>
      </c>
    </row>
    <row r="87" spans="1:17" x14ac:dyDescent="0.3">
      <c r="A87" s="21" t="s">
        <v>136</v>
      </c>
      <c r="B87" s="21" t="s">
        <v>27</v>
      </c>
      <c r="C87" s="21" t="s">
        <v>72</v>
      </c>
      <c r="D87" s="21" t="s">
        <v>29</v>
      </c>
      <c r="E87" s="23">
        <v>57219</v>
      </c>
      <c r="F87" s="23">
        <v>15821</v>
      </c>
      <c r="G87" s="23">
        <v>3359</v>
      </c>
      <c r="H87" s="23">
        <v>3346</v>
      </c>
      <c r="I87" s="23">
        <v>4692</v>
      </c>
      <c r="J87" s="23">
        <v>6866</v>
      </c>
      <c r="K87" s="23">
        <v>2395</v>
      </c>
      <c r="L87" s="23">
        <v>6866</v>
      </c>
      <c r="M87" s="23">
        <v>84437</v>
      </c>
      <c r="N87" s="23">
        <v>75176</v>
      </c>
      <c r="O87" s="23">
        <v>91303</v>
      </c>
    </row>
    <row r="88" spans="1:17" x14ac:dyDescent="0.3">
      <c r="A88" s="21" t="s">
        <v>137</v>
      </c>
      <c r="B88" s="21" t="s">
        <v>35</v>
      </c>
      <c r="C88" s="21" t="s">
        <v>138</v>
      </c>
      <c r="D88" s="21" t="s">
        <v>33</v>
      </c>
      <c r="E88" s="23">
        <v>106159</v>
      </c>
      <c r="F88" s="23">
        <v>25207</v>
      </c>
      <c r="G88" s="23">
        <v>11564</v>
      </c>
      <c r="H88" s="23">
        <v>1187</v>
      </c>
      <c r="I88" s="23">
        <v>3976</v>
      </c>
      <c r="J88" s="23">
        <v>12739</v>
      </c>
      <c r="K88" s="23">
        <v>4345</v>
      </c>
      <c r="L88" s="23">
        <v>12739</v>
      </c>
      <c r="M88" s="23">
        <v>148093</v>
      </c>
      <c r="N88" s="23">
        <v>131009</v>
      </c>
      <c r="O88" s="23">
        <v>160832</v>
      </c>
      <c r="Q88" t="s">
        <v>194</v>
      </c>
    </row>
    <row r="89" spans="1:17" x14ac:dyDescent="0.3">
      <c r="A89" s="21" t="s">
        <v>139</v>
      </c>
      <c r="B89" s="21" t="s">
        <v>38</v>
      </c>
      <c r="C89" s="21" t="s">
        <v>39</v>
      </c>
      <c r="D89" s="21" t="s">
        <v>54</v>
      </c>
      <c r="E89" s="23">
        <v>43524</v>
      </c>
      <c r="F89" s="23">
        <v>11380</v>
      </c>
      <c r="G89" s="23">
        <v>4203</v>
      </c>
      <c r="H89" s="23">
        <v>1821</v>
      </c>
      <c r="I89" s="23">
        <v>1794</v>
      </c>
      <c r="J89" s="23">
        <v>5223</v>
      </c>
      <c r="K89" s="23">
        <v>4176</v>
      </c>
      <c r="L89" s="23">
        <v>5223</v>
      </c>
      <c r="M89" s="23">
        <v>62722</v>
      </c>
      <c r="N89" s="23">
        <v>53323</v>
      </c>
      <c r="O89" s="23">
        <v>67945</v>
      </c>
    </row>
    <row r="90" spans="1:17" x14ac:dyDescent="0.3">
      <c r="A90" s="21" t="s">
        <v>140</v>
      </c>
      <c r="B90" s="21" t="s">
        <v>31</v>
      </c>
      <c r="C90" s="21" t="s">
        <v>32</v>
      </c>
      <c r="D90" s="21" t="s">
        <v>54</v>
      </c>
      <c r="E90" s="23">
        <v>54510</v>
      </c>
      <c r="F90" s="23">
        <v>13703</v>
      </c>
      <c r="G90" s="23">
        <v>6158</v>
      </c>
      <c r="H90" s="23">
        <v>2722</v>
      </c>
      <c r="I90" s="23">
        <v>2699</v>
      </c>
      <c r="J90" s="23">
        <v>6541</v>
      </c>
      <c r="K90" s="23">
        <v>3393</v>
      </c>
      <c r="L90" s="23">
        <v>6541</v>
      </c>
      <c r="M90" s="23">
        <v>79792</v>
      </c>
      <c r="N90" s="23">
        <v>69858</v>
      </c>
      <c r="O90" s="23">
        <v>86333</v>
      </c>
    </row>
    <row r="91" spans="1:17" x14ac:dyDescent="0.3">
      <c r="A91" s="21" t="s">
        <v>141</v>
      </c>
      <c r="B91" s="21" t="s">
        <v>38</v>
      </c>
      <c r="C91" s="21" t="s">
        <v>64</v>
      </c>
      <c r="D91" s="21" t="s">
        <v>33</v>
      </c>
      <c r="E91" s="23">
        <v>29248</v>
      </c>
      <c r="F91" s="23">
        <v>6410</v>
      </c>
      <c r="G91" s="23">
        <v>2551</v>
      </c>
      <c r="H91" s="23">
        <v>156</v>
      </c>
      <c r="I91" s="23">
        <v>1145</v>
      </c>
      <c r="J91" s="23">
        <v>3510</v>
      </c>
      <c r="K91" s="23">
        <v>1893</v>
      </c>
      <c r="L91" s="23">
        <v>3510</v>
      </c>
      <c r="M91" s="23">
        <v>39510</v>
      </c>
      <c r="N91" s="23">
        <v>34107</v>
      </c>
      <c r="O91" s="23">
        <v>43020</v>
      </c>
    </row>
    <row r="92" spans="1:17" x14ac:dyDescent="0.3">
      <c r="A92" s="21" t="s">
        <v>142</v>
      </c>
      <c r="B92" s="21" t="s">
        <v>41</v>
      </c>
      <c r="C92" s="21" t="s">
        <v>107</v>
      </c>
      <c r="D92" s="21" t="s">
        <v>33</v>
      </c>
      <c r="E92" s="23">
        <v>101110</v>
      </c>
      <c r="F92" s="23">
        <v>25586</v>
      </c>
      <c r="G92" s="23">
        <v>9965</v>
      </c>
      <c r="H92" s="23">
        <v>1349</v>
      </c>
      <c r="I92" s="23">
        <v>4393</v>
      </c>
      <c r="J92" s="23">
        <v>12133</v>
      </c>
      <c r="K92" s="23">
        <v>6478</v>
      </c>
      <c r="L92" s="23">
        <v>12133</v>
      </c>
      <c r="M92" s="23">
        <v>142403</v>
      </c>
      <c r="N92" s="23">
        <v>123792</v>
      </c>
      <c r="O92" s="23">
        <v>154536</v>
      </c>
    </row>
    <row r="93" spans="1:17" x14ac:dyDescent="0.3">
      <c r="A93" s="21" t="s">
        <v>143</v>
      </c>
      <c r="B93" s="21" t="s">
        <v>35</v>
      </c>
      <c r="C93" s="21" t="s">
        <v>36</v>
      </c>
      <c r="D93" s="21" t="s">
        <v>33</v>
      </c>
      <c r="E93" s="23">
        <v>78187</v>
      </c>
      <c r="F93" s="23">
        <v>21874</v>
      </c>
      <c r="G93" s="23">
        <v>8027</v>
      </c>
      <c r="H93" s="23">
        <v>4422</v>
      </c>
      <c r="I93" s="23">
        <v>3893</v>
      </c>
      <c r="J93" s="23">
        <v>9382</v>
      </c>
      <c r="K93" s="23">
        <v>3059</v>
      </c>
      <c r="L93" s="23">
        <v>9382</v>
      </c>
      <c r="M93" s="23">
        <v>116403</v>
      </c>
      <c r="N93" s="23">
        <v>103962</v>
      </c>
      <c r="O93" s="23">
        <v>125785</v>
      </c>
    </row>
    <row r="94" spans="1:17" x14ac:dyDescent="0.3">
      <c r="A94" s="21" t="s">
        <v>144</v>
      </c>
      <c r="B94" s="21" t="s">
        <v>35</v>
      </c>
      <c r="C94" s="21" t="s">
        <v>36</v>
      </c>
      <c r="D94" s="21" t="s">
        <v>54</v>
      </c>
      <c r="E94" s="23">
        <v>68710</v>
      </c>
      <c r="F94" s="23">
        <v>14971</v>
      </c>
      <c r="G94" s="23">
        <v>5634</v>
      </c>
      <c r="H94" s="23">
        <v>3320</v>
      </c>
      <c r="I94" s="23">
        <v>2511</v>
      </c>
      <c r="J94" s="23">
        <v>8245</v>
      </c>
      <c r="K94" s="23">
        <v>4553</v>
      </c>
      <c r="L94" s="23">
        <v>8245</v>
      </c>
      <c r="M94" s="23">
        <v>95146</v>
      </c>
      <c r="N94" s="23">
        <v>82348</v>
      </c>
      <c r="O94" s="23">
        <v>103391</v>
      </c>
    </row>
    <row r="95" spans="1:17" x14ac:dyDescent="0.3">
      <c r="A95" s="21" t="s">
        <v>145</v>
      </c>
      <c r="B95" s="21" t="s">
        <v>38</v>
      </c>
      <c r="C95" s="21" t="s">
        <v>64</v>
      </c>
      <c r="D95" s="21" t="s">
        <v>29</v>
      </c>
      <c r="E95" s="23">
        <v>30891</v>
      </c>
      <c r="F95" s="23">
        <v>7945</v>
      </c>
      <c r="G95" s="23">
        <v>1571</v>
      </c>
      <c r="H95" s="23">
        <v>1479</v>
      </c>
      <c r="I95" s="23">
        <v>2828</v>
      </c>
      <c r="J95" s="23">
        <v>3707</v>
      </c>
      <c r="K95" s="23">
        <v>2582</v>
      </c>
      <c r="L95" s="23">
        <v>3707</v>
      </c>
      <c r="M95" s="23">
        <v>44714</v>
      </c>
      <c r="N95" s="23">
        <v>38425</v>
      </c>
      <c r="O95" s="23">
        <v>48421</v>
      </c>
    </row>
    <row r="96" spans="1:17" x14ac:dyDescent="0.3">
      <c r="A96" s="21" t="s">
        <v>146</v>
      </c>
      <c r="B96" s="21" t="s">
        <v>35</v>
      </c>
      <c r="C96" s="21" t="s">
        <v>49</v>
      </c>
      <c r="D96" s="21" t="s">
        <v>29</v>
      </c>
      <c r="E96" s="23">
        <v>40298</v>
      </c>
      <c r="F96" s="23">
        <v>11119</v>
      </c>
      <c r="G96" s="23">
        <v>2981</v>
      </c>
      <c r="H96" s="23">
        <v>733</v>
      </c>
      <c r="I96" s="23">
        <v>2118</v>
      </c>
      <c r="J96" s="23">
        <v>4836</v>
      </c>
      <c r="K96" s="23">
        <v>1954</v>
      </c>
      <c r="L96" s="23">
        <v>4836</v>
      </c>
      <c r="M96" s="23">
        <v>57249</v>
      </c>
      <c r="N96" s="23">
        <v>50459</v>
      </c>
      <c r="O96" s="23">
        <v>62085</v>
      </c>
    </row>
    <row r="97" spans="1:15" x14ac:dyDescent="0.3">
      <c r="A97" s="21" t="s">
        <v>147</v>
      </c>
      <c r="B97" s="21" t="s">
        <v>38</v>
      </c>
      <c r="C97" s="21" t="s">
        <v>64</v>
      </c>
      <c r="D97" s="21" t="s">
        <v>54</v>
      </c>
      <c r="E97" s="23">
        <v>38380</v>
      </c>
      <c r="F97" s="23">
        <v>7442</v>
      </c>
      <c r="G97" s="23">
        <v>2190</v>
      </c>
      <c r="H97" s="23">
        <v>786</v>
      </c>
      <c r="I97" s="23">
        <v>3630</v>
      </c>
      <c r="J97" s="23">
        <v>4606</v>
      </c>
      <c r="K97" s="23">
        <v>2658</v>
      </c>
      <c r="L97" s="23">
        <v>4606</v>
      </c>
      <c r="M97" s="23">
        <v>52428</v>
      </c>
      <c r="N97" s="23">
        <v>45164</v>
      </c>
      <c r="O97" s="23">
        <v>57034</v>
      </c>
    </row>
    <row r="98" spans="1:15" x14ac:dyDescent="0.3">
      <c r="A98" s="21" t="s">
        <v>148</v>
      </c>
      <c r="B98" s="21" t="s">
        <v>38</v>
      </c>
      <c r="C98" s="21" t="s">
        <v>66</v>
      </c>
      <c r="D98" s="21" t="s">
        <v>33</v>
      </c>
      <c r="E98" s="23">
        <v>108727</v>
      </c>
      <c r="F98" s="23">
        <v>26653</v>
      </c>
      <c r="G98" s="23">
        <v>11306</v>
      </c>
      <c r="H98" s="23">
        <v>3257</v>
      </c>
      <c r="I98" s="23">
        <v>345</v>
      </c>
      <c r="J98" s="23">
        <v>13047</v>
      </c>
      <c r="K98" s="23">
        <v>3382</v>
      </c>
      <c r="L98" s="23">
        <v>13047</v>
      </c>
      <c r="M98" s="23">
        <v>150288</v>
      </c>
      <c r="N98" s="23">
        <v>133859</v>
      </c>
      <c r="O98" s="23">
        <v>163335</v>
      </c>
    </row>
    <row r="99" spans="1:15" x14ac:dyDescent="0.3">
      <c r="A99" s="21" t="s">
        <v>149</v>
      </c>
      <c r="B99" s="21" t="s">
        <v>38</v>
      </c>
      <c r="C99" s="21" t="s">
        <v>66</v>
      </c>
      <c r="D99" s="21" t="s">
        <v>29</v>
      </c>
      <c r="E99" s="23">
        <v>73797</v>
      </c>
      <c r="F99" s="23">
        <v>20004</v>
      </c>
      <c r="G99" s="23">
        <v>4324</v>
      </c>
      <c r="H99" s="23">
        <v>1393</v>
      </c>
      <c r="I99" s="23">
        <v>828</v>
      </c>
      <c r="J99" s="23">
        <v>8856</v>
      </c>
      <c r="K99" s="23">
        <v>2853</v>
      </c>
      <c r="L99" s="23">
        <v>8856</v>
      </c>
      <c r="M99" s="23">
        <v>100346</v>
      </c>
      <c r="N99" s="23">
        <v>88637</v>
      </c>
      <c r="O99" s="23">
        <v>109202</v>
      </c>
    </row>
    <row r="100" spans="1:15" x14ac:dyDescent="0.3">
      <c r="A100" s="21" t="s">
        <v>150</v>
      </c>
      <c r="B100" s="21" t="s">
        <v>41</v>
      </c>
      <c r="C100" s="21" t="s">
        <v>107</v>
      </c>
      <c r="D100" s="21" t="s">
        <v>33</v>
      </c>
      <c r="E100" s="23">
        <v>104622</v>
      </c>
      <c r="F100" s="23">
        <v>22090</v>
      </c>
      <c r="G100" s="23">
        <v>6896</v>
      </c>
      <c r="H100" s="23">
        <v>5088</v>
      </c>
      <c r="I100" s="23">
        <v>1897</v>
      </c>
      <c r="J100" s="23">
        <v>12555</v>
      </c>
      <c r="K100" s="23">
        <v>8278</v>
      </c>
      <c r="L100" s="23">
        <v>12555</v>
      </c>
      <c r="M100" s="23">
        <v>140593</v>
      </c>
      <c r="N100" s="23">
        <v>119760</v>
      </c>
      <c r="O100" s="23">
        <v>153148</v>
      </c>
    </row>
    <row r="101" spans="1:15" x14ac:dyDescent="0.3">
      <c r="A101" s="21" t="s">
        <v>151</v>
      </c>
      <c r="B101" s="21" t="s">
        <v>41</v>
      </c>
      <c r="C101" s="21" t="s">
        <v>59</v>
      </c>
      <c r="D101" s="21" t="s">
        <v>33</v>
      </c>
      <c r="E101" s="23">
        <v>77409</v>
      </c>
      <c r="F101" s="23">
        <v>16515</v>
      </c>
      <c r="G101" s="23">
        <v>6028</v>
      </c>
      <c r="H101" s="23">
        <v>3328</v>
      </c>
      <c r="I101" s="23">
        <v>4599</v>
      </c>
      <c r="J101" s="23">
        <v>9289</v>
      </c>
      <c r="K101" s="23">
        <v>4021</v>
      </c>
      <c r="L101" s="23">
        <v>9289</v>
      </c>
      <c r="M101" s="23">
        <v>107879</v>
      </c>
      <c r="N101" s="23">
        <v>94569</v>
      </c>
      <c r="O101" s="23">
        <v>117168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1"/>
  <sheetViews>
    <sheetView showGridLines="0" workbookViewId="0">
      <pane ySplit="1" topLeftCell="A2" activePane="bottomLeft" state="frozen"/>
      <selection pane="bottomLeft" activeCell="N3" sqref="N3"/>
    </sheetView>
  </sheetViews>
  <sheetFormatPr defaultRowHeight="14.4" x14ac:dyDescent="0.3"/>
  <cols>
    <col min="1" max="1" width="13.44140625" customWidth="1"/>
    <col min="2" max="2" width="13" customWidth="1"/>
    <col min="3" max="7" width="12.77734375" customWidth="1"/>
    <col min="8" max="8" width="13" customWidth="1"/>
    <col min="9" max="9" width="13.6640625" customWidth="1"/>
    <col min="10" max="11" width="12.77734375" customWidth="1"/>
    <col min="12" max="12" width="22" customWidth="1"/>
    <col min="13" max="13" width="15" customWidth="1"/>
  </cols>
  <sheetData>
    <row r="1" spans="1:13" ht="43.2" x14ac:dyDescent="0.3">
      <c r="A1" s="7" t="s">
        <v>11</v>
      </c>
      <c r="B1" s="8" t="s">
        <v>12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23</v>
      </c>
      <c r="I1" s="8" t="s">
        <v>20</v>
      </c>
      <c r="J1" s="8" t="s">
        <v>21</v>
      </c>
      <c r="K1" s="8" t="s">
        <v>24</v>
      </c>
      <c r="L1" s="8" t="s">
        <v>22</v>
      </c>
      <c r="M1" s="9" t="s">
        <v>25</v>
      </c>
    </row>
    <row r="2" spans="1:13" ht="18" customHeight="1" x14ac:dyDescent="0.3">
      <c r="A2" s="5" t="str">
        <f>Employee_Data!A2</f>
        <v>EMP1001</v>
      </c>
      <c r="B2" s="1" t="str">
        <f>Employee_Data!B2</f>
        <v>HR</v>
      </c>
      <c r="C2" s="2">
        <f>Employee_Data!E2</f>
        <v>47174</v>
      </c>
      <c r="D2" s="2">
        <f>Employee_Data!F2</f>
        <v>10734</v>
      </c>
      <c r="E2" s="2">
        <f>Employee_Data!G2</f>
        <v>4219</v>
      </c>
      <c r="F2" s="2">
        <f>Employee_Data!H2</f>
        <v>2625</v>
      </c>
      <c r="G2" s="2">
        <f>Employee_Data!I2</f>
        <v>697</v>
      </c>
      <c r="H2" s="2">
        <f t="shared" ref="H2:H33" si="0">SUM(C2:G2)</f>
        <v>65449</v>
      </c>
      <c r="I2" s="2">
        <f>Employee_Data!J2</f>
        <v>5661</v>
      </c>
      <c r="J2" s="2">
        <f>Employee_Data!K2</f>
        <v>3364</v>
      </c>
      <c r="K2" s="2">
        <f t="shared" ref="K2:K33" si="1">H2-I2-J2</f>
        <v>56424</v>
      </c>
      <c r="L2" s="2">
        <f>Employee_Data!L2</f>
        <v>5661</v>
      </c>
      <c r="M2" s="6">
        <f t="shared" ref="M2:M33" si="2">H2+L2</f>
        <v>71110</v>
      </c>
    </row>
    <row r="3" spans="1:13" ht="18" customHeight="1" x14ac:dyDescent="0.3">
      <c r="A3" s="5" t="str">
        <f>Employee_Data!A3</f>
        <v>EMP1002</v>
      </c>
      <c r="B3" s="1" t="str">
        <f>Employee_Data!B3</f>
        <v>Technology</v>
      </c>
      <c r="C3" s="2">
        <f>Employee_Data!E3</f>
        <v>78827</v>
      </c>
      <c r="D3" s="2">
        <f>Employee_Data!F3</f>
        <v>21621</v>
      </c>
      <c r="E3" s="2">
        <f>Employee_Data!G3</f>
        <v>7246</v>
      </c>
      <c r="F3" s="2">
        <f>Employee_Data!H3</f>
        <v>4381</v>
      </c>
      <c r="G3" s="2">
        <f>Employee_Data!I3</f>
        <v>4402</v>
      </c>
      <c r="H3" s="2">
        <f t="shared" si="0"/>
        <v>116477</v>
      </c>
      <c r="I3" s="2">
        <f>Employee_Data!J3</f>
        <v>9459</v>
      </c>
      <c r="J3" s="2">
        <f>Employee_Data!K3</f>
        <v>6149</v>
      </c>
      <c r="K3" s="2">
        <f t="shared" si="1"/>
        <v>100869</v>
      </c>
      <c r="L3" s="2">
        <f>Employee_Data!L3</f>
        <v>9459</v>
      </c>
      <c r="M3" s="6">
        <f t="shared" si="2"/>
        <v>125936</v>
      </c>
    </row>
    <row r="4" spans="1:13" ht="18" customHeight="1" x14ac:dyDescent="0.3">
      <c r="A4" s="5" t="str">
        <f>Employee_Data!A4</f>
        <v>EMP1003</v>
      </c>
      <c r="B4" s="1" t="str">
        <f>Employee_Data!B4</f>
        <v>Operations</v>
      </c>
      <c r="C4" s="2">
        <f>Employee_Data!E4</f>
        <v>47693</v>
      </c>
      <c r="D4" s="2">
        <f>Employee_Data!F4</f>
        <v>10762</v>
      </c>
      <c r="E4" s="2">
        <f>Employee_Data!G4</f>
        <v>3114</v>
      </c>
      <c r="F4" s="2">
        <f>Employee_Data!H4</f>
        <v>1589</v>
      </c>
      <c r="G4" s="2">
        <f>Employee_Data!I4</f>
        <v>4416</v>
      </c>
      <c r="H4" s="2">
        <f t="shared" si="0"/>
        <v>67574</v>
      </c>
      <c r="I4" s="2">
        <f>Employee_Data!J4</f>
        <v>5723</v>
      </c>
      <c r="J4" s="2">
        <f>Employee_Data!K4</f>
        <v>2441</v>
      </c>
      <c r="K4" s="2">
        <f t="shared" si="1"/>
        <v>59410</v>
      </c>
      <c r="L4" s="2">
        <f>Employee_Data!L4</f>
        <v>5723</v>
      </c>
      <c r="M4" s="6">
        <f t="shared" si="2"/>
        <v>73297</v>
      </c>
    </row>
    <row r="5" spans="1:13" ht="18" customHeight="1" x14ac:dyDescent="0.3">
      <c r="A5" s="5" t="str">
        <f>Employee_Data!A5</f>
        <v>EMP1004</v>
      </c>
      <c r="B5" s="1" t="str">
        <f>Employee_Data!B5</f>
        <v>Sales</v>
      </c>
      <c r="C5" s="2">
        <f>Employee_Data!E5</f>
        <v>39494</v>
      </c>
      <c r="D5" s="2">
        <f>Employee_Data!F5</f>
        <v>10690</v>
      </c>
      <c r="E5" s="2">
        <f>Employee_Data!G5</f>
        <v>2727</v>
      </c>
      <c r="F5" s="2">
        <f>Employee_Data!H5</f>
        <v>2046</v>
      </c>
      <c r="G5" s="2">
        <f>Employee_Data!I5</f>
        <v>3</v>
      </c>
      <c r="H5" s="2">
        <f t="shared" si="0"/>
        <v>54960</v>
      </c>
      <c r="I5" s="2">
        <f>Employee_Data!J5</f>
        <v>4739</v>
      </c>
      <c r="J5" s="2">
        <f>Employee_Data!K5</f>
        <v>2067</v>
      </c>
      <c r="K5" s="2">
        <f t="shared" si="1"/>
        <v>48154</v>
      </c>
      <c r="L5" s="2">
        <f>Employee_Data!L5</f>
        <v>4739</v>
      </c>
      <c r="M5" s="6">
        <f t="shared" si="2"/>
        <v>59699</v>
      </c>
    </row>
    <row r="6" spans="1:13" ht="18" customHeight="1" x14ac:dyDescent="0.3">
      <c r="A6" s="5" t="str">
        <f>Employee_Data!A6</f>
        <v>EMP1005</v>
      </c>
      <c r="B6" s="1" t="str">
        <f>Employee_Data!B6</f>
        <v>Marketing</v>
      </c>
      <c r="C6" s="2">
        <f>Employee_Data!E6</f>
        <v>49959</v>
      </c>
      <c r="D6" s="2">
        <f>Employee_Data!F6</f>
        <v>11661</v>
      </c>
      <c r="E6" s="2">
        <f>Employee_Data!G6</f>
        <v>4193</v>
      </c>
      <c r="F6" s="2">
        <f>Employee_Data!H6</f>
        <v>2767</v>
      </c>
      <c r="G6" s="2">
        <f>Employee_Data!I6</f>
        <v>1347</v>
      </c>
      <c r="H6" s="2">
        <f t="shared" si="0"/>
        <v>69927</v>
      </c>
      <c r="I6" s="2">
        <f>Employee_Data!J6</f>
        <v>5995</v>
      </c>
      <c r="J6" s="2">
        <f>Employee_Data!K6</f>
        <v>2215</v>
      </c>
      <c r="K6" s="2">
        <f t="shared" si="1"/>
        <v>61717</v>
      </c>
      <c r="L6" s="2">
        <f>Employee_Data!L6</f>
        <v>5995</v>
      </c>
      <c r="M6" s="6">
        <f t="shared" si="2"/>
        <v>75922</v>
      </c>
    </row>
    <row r="7" spans="1:13" ht="18" customHeight="1" x14ac:dyDescent="0.3">
      <c r="A7" s="5" t="str">
        <f>Employee_Data!A7</f>
        <v>EMP1006</v>
      </c>
      <c r="B7" s="1" t="str">
        <f>Employee_Data!B7</f>
        <v>Marketing</v>
      </c>
      <c r="C7" s="2">
        <f>Employee_Data!E7</f>
        <v>58303</v>
      </c>
      <c r="D7" s="2">
        <f>Employee_Data!F7</f>
        <v>13748</v>
      </c>
      <c r="E7" s="2">
        <f>Employee_Data!G7</f>
        <v>4563</v>
      </c>
      <c r="F7" s="2">
        <f>Employee_Data!H7</f>
        <v>303</v>
      </c>
      <c r="G7" s="2">
        <f>Employee_Data!I7</f>
        <v>1270</v>
      </c>
      <c r="H7" s="2">
        <f t="shared" si="0"/>
        <v>78187</v>
      </c>
      <c r="I7" s="2">
        <f>Employee_Data!J7</f>
        <v>6996</v>
      </c>
      <c r="J7" s="2">
        <f>Employee_Data!K7</f>
        <v>2478</v>
      </c>
      <c r="K7" s="2">
        <f t="shared" si="1"/>
        <v>68713</v>
      </c>
      <c r="L7" s="2">
        <f>Employee_Data!L7</f>
        <v>6996</v>
      </c>
      <c r="M7" s="6">
        <f t="shared" si="2"/>
        <v>85183</v>
      </c>
    </row>
    <row r="8" spans="1:13" ht="18" customHeight="1" x14ac:dyDescent="0.3">
      <c r="A8" s="5" t="str">
        <f>Employee_Data!A8</f>
        <v>EMP1007</v>
      </c>
      <c r="B8" s="1" t="str">
        <f>Employee_Data!B8</f>
        <v>Marketing</v>
      </c>
      <c r="C8" s="2">
        <f>Employee_Data!E8</f>
        <v>51664</v>
      </c>
      <c r="D8" s="2">
        <f>Employee_Data!F8</f>
        <v>10065</v>
      </c>
      <c r="E8" s="2">
        <f>Employee_Data!G8</f>
        <v>6192</v>
      </c>
      <c r="F8" s="2">
        <f>Employee_Data!H8</f>
        <v>1103</v>
      </c>
      <c r="G8" s="2">
        <f>Employee_Data!I8</f>
        <v>4883</v>
      </c>
      <c r="H8" s="2">
        <f t="shared" si="0"/>
        <v>73907</v>
      </c>
      <c r="I8" s="2">
        <f>Employee_Data!J8</f>
        <v>6200</v>
      </c>
      <c r="J8" s="2">
        <f>Employee_Data!K8</f>
        <v>3024</v>
      </c>
      <c r="K8" s="2">
        <f t="shared" si="1"/>
        <v>64683</v>
      </c>
      <c r="L8" s="2">
        <f>Employee_Data!L8</f>
        <v>6200</v>
      </c>
      <c r="M8" s="6">
        <f t="shared" si="2"/>
        <v>80107</v>
      </c>
    </row>
    <row r="9" spans="1:13" ht="18" customHeight="1" x14ac:dyDescent="0.3">
      <c r="A9" s="5" t="str">
        <f>Employee_Data!A9</f>
        <v>EMP1008</v>
      </c>
      <c r="B9" s="1" t="str">
        <f>Employee_Data!B9</f>
        <v>Technology</v>
      </c>
      <c r="C9" s="2">
        <f>Employee_Data!E9</f>
        <v>35392</v>
      </c>
      <c r="D9" s="2">
        <f>Employee_Data!F9</f>
        <v>8616</v>
      </c>
      <c r="E9" s="2">
        <f>Employee_Data!G9</f>
        <v>3456</v>
      </c>
      <c r="F9" s="2">
        <f>Employee_Data!H9</f>
        <v>1503</v>
      </c>
      <c r="G9" s="2">
        <f>Employee_Data!I9</f>
        <v>2239</v>
      </c>
      <c r="H9" s="2">
        <f t="shared" si="0"/>
        <v>51206</v>
      </c>
      <c r="I9" s="2">
        <f>Employee_Data!J9</f>
        <v>4247</v>
      </c>
      <c r="J9" s="2">
        <f>Employee_Data!K9</f>
        <v>2497</v>
      </c>
      <c r="K9" s="2">
        <f t="shared" si="1"/>
        <v>44462</v>
      </c>
      <c r="L9" s="2">
        <f>Employee_Data!L9</f>
        <v>4247</v>
      </c>
      <c r="M9" s="6">
        <f t="shared" si="2"/>
        <v>55453</v>
      </c>
    </row>
    <row r="10" spans="1:13" ht="18" customHeight="1" x14ac:dyDescent="0.3">
      <c r="A10" s="5" t="str">
        <f>Employee_Data!A10</f>
        <v>EMP1009</v>
      </c>
      <c r="B10" s="1" t="str">
        <f>Employee_Data!B10</f>
        <v>Sales</v>
      </c>
      <c r="C10" s="2">
        <f>Employee_Data!E10</f>
        <v>28202</v>
      </c>
      <c r="D10" s="2">
        <f>Employee_Data!F10</f>
        <v>6119</v>
      </c>
      <c r="E10" s="2">
        <f>Employee_Data!G10</f>
        <v>1888</v>
      </c>
      <c r="F10" s="2">
        <f>Employee_Data!H10</f>
        <v>1812</v>
      </c>
      <c r="G10" s="2">
        <f>Employee_Data!I10</f>
        <v>2352</v>
      </c>
      <c r="H10" s="2">
        <f t="shared" si="0"/>
        <v>40373</v>
      </c>
      <c r="I10" s="2">
        <f>Employee_Data!J10</f>
        <v>3384</v>
      </c>
      <c r="J10" s="2">
        <f>Employee_Data!K10</f>
        <v>2922</v>
      </c>
      <c r="K10" s="2">
        <f t="shared" si="1"/>
        <v>34067</v>
      </c>
      <c r="L10" s="2">
        <f>Employee_Data!L10</f>
        <v>3384</v>
      </c>
      <c r="M10" s="6">
        <f t="shared" si="2"/>
        <v>43757</v>
      </c>
    </row>
    <row r="11" spans="1:13" ht="18" customHeight="1" x14ac:dyDescent="0.3">
      <c r="A11" s="5" t="str">
        <f>Employee_Data!A11</f>
        <v>EMP1010</v>
      </c>
      <c r="B11" s="1" t="str">
        <f>Employee_Data!B11</f>
        <v>Operations</v>
      </c>
      <c r="C11" s="2">
        <f>Employee_Data!E11</f>
        <v>43087</v>
      </c>
      <c r="D11" s="2">
        <f>Employee_Data!F11</f>
        <v>11195</v>
      </c>
      <c r="E11" s="2">
        <f>Employee_Data!G11</f>
        <v>2609</v>
      </c>
      <c r="F11" s="2">
        <f>Employee_Data!H11</f>
        <v>1752</v>
      </c>
      <c r="G11" s="2">
        <f>Employee_Data!I11</f>
        <v>3479</v>
      </c>
      <c r="H11" s="2">
        <f t="shared" si="0"/>
        <v>62122</v>
      </c>
      <c r="I11" s="2">
        <f>Employee_Data!J11</f>
        <v>5170</v>
      </c>
      <c r="J11" s="2">
        <f>Employee_Data!K11</f>
        <v>4072</v>
      </c>
      <c r="K11" s="2">
        <f t="shared" si="1"/>
        <v>52880</v>
      </c>
      <c r="L11" s="2">
        <f>Employee_Data!L11</f>
        <v>5170</v>
      </c>
      <c r="M11" s="6">
        <f t="shared" si="2"/>
        <v>67292</v>
      </c>
    </row>
    <row r="12" spans="1:13" ht="18" customHeight="1" x14ac:dyDescent="0.3">
      <c r="A12" s="5" t="str">
        <f>Employee_Data!A12</f>
        <v>EMP1011</v>
      </c>
      <c r="B12" s="1" t="str">
        <f>Employee_Data!B12</f>
        <v>Marketing</v>
      </c>
      <c r="C12" s="2">
        <f>Employee_Data!E12</f>
        <v>53945</v>
      </c>
      <c r="D12" s="2">
        <f>Employee_Data!F12</f>
        <v>12473</v>
      </c>
      <c r="E12" s="2">
        <f>Employee_Data!G12</f>
        <v>3553</v>
      </c>
      <c r="F12" s="2">
        <f>Employee_Data!H12</f>
        <v>2784</v>
      </c>
      <c r="G12" s="2">
        <f>Employee_Data!I12</f>
        <v>872</v>
      </c>
      <c r="H12" s="2">
        <f t="shared" si="0"/>
        <v>73627</v>
      </c>
      <c r="I12" s="2">
        <f>Employee_Data!J12</f>
        <v>6473</v>
      </c>
      <c r="J12" s="2">
        <f>Employee_Data!K12</f>
        <v>4127</v>
      </c>
      <c r="K12" s="2">
        <f t="shared" si="1"/>
        <v>63027</v>
      </c>
      <c r="L12" s="2">
        <f>Employee_Data!L12</f>
        <v>6473</v>
      </c>
      <c r="M12" s="6">
        <f t="shared" si="2"/>
        <v>80100</v>
      </c>
    </row>
    <row r="13" spans="1:13" ht="18" customHeight="1" x14ac:dyDescent="0.3">
      <c r="A13" s="5" t="str">
        <f>Employee_Data!A13</f>
        <v>EMP1012</v>
      </c>
      <c r="B13" s="1" t="str">
        <f>Employee_Data!B13</f>
        <v>Technology</v>
      </c>
      <c r="C13" s="2">
        <f>Employee_Data!E13</f>
        <v>107504</v>
      </c>
      <c r="D13" s="2">
        <f>Employee_Data!F13</f>
        <v>26615</v>
      </c>
      <c r="E13" s="2">
        <f>Employee_Data!G13</f>
        <v>10908</v>
      </c>
      <c r="F13" s="2">
        <f>Employee_Data!H13</f>
        <v>1798</v>
      </c>
      <c r="G13" s="2">
        <f>Employee_Data!I13</f>
        <v>2707</v>
      </c>
      <c r="H13" s="2">
        <f t="shared" si="0"/>
        <v>149532</v>
      </c>
      <c r="I13" s="2">
        <f>Employee_Data!J13</f>
        <v>12900</v>
      </c>
      <c r="J13" s="2">
        <f>Employee_Data!K13</f>
        <v>8437</v>
      </c>
      <c r="K13" s="2">
        <f t="shared" si="1"/>
        <v>128195</v>
      </c>
      <c r="L13" s="2">
        <f>Employee_Data!L13</f>
        <v>12900</v>
      </c>
      <c r="M13" s="6">
        <f t="shared" si="2"/>
        <v>162432</v>
      </c>
    </row>
    <row r="14" spans="1:13" ht="18" customHeight="1" x14ac:dyDescent="0.3">
      <c r="A14" s="5" t="str">
        <f>Employee_Data!A14</f>
        <v>EMP1013</v>
      </c>
      <c r="B14" s="1" t="str">
        <f>Employee_Data!B14</f>
        <v>Operations</v>
      </c>
      <c r="C14" s="2">
        <f>Employee_Data!E14</f>
        <v>76065</v>
      </c>
      <c r="D14" s="2">
        <f>Employee_Data!F14</f>
        <v>21163</v>
      </c>
      <c r="E14" s="2">
        <f>Employee_Data!G14</f>
        <v>6554</v>
      </c>
      <c r="F14" s="2">
        <f>Employee_Data!H14</f>
        <v>1587</v>
      </c>
      <c r="G14" s="2">
        <f>Employee_Data!I14</f>
        <v>4981</v>
      </c>
      <c r="H14" s="2">
        <f t="shared" si="0"/>
        <v>110350</v>
      </c>
      <c r="I14" s="2">
        <f>Employee_Data!J14</f>
        <v>9128</v>
      </c>
      <c r="J14" s="2">
        <f>Employee_Data!K14</f>
        <v>7888</v>
      </c>
      <c r="K14" s="2">
        <f t="shared" si="1"/>
        <v>93334</v>
      </c>
      <c r="L14" s="2">
        <f>Employee_Data!L14</f>
        <v>9128</v>
      </c>
      <c r="M14" s="6">
        <f t="shared" si="2"/>
        <v>119478</v>
      </c>
    </row>
    <row r="15" spans="1:13" ht="18" customHeight="1" x14ac:dyDescent="0.3">
      <c r="A15" s="5" t="str">
        <f>Employee_Data!A15</f>
        <v>EMP1014</v>
      </c>
      <c r="B15" s="1" t="str">
        <f>Employee_Data!B15</f>
        <v>Finance</v>
      </c>
      <c r="C15" s="2">
        <f>Employee_Data!E15</f>
        <v>77158</v>
      </c>
      <c r="D15" s="2">
        <f>Employee_Data!F15</f>
        <v>16504</v>
      </c>
      <c r="E15" s="2">
        <f>Employee_Data!G15</f>
        <v>5744</v>
      </c>
      <c r="F15" s="2">
        <f>Employee_Data!H15</f>
        <v>4481</v>
      </c>
      <c r="G15" s="2">
        <f>Employee_Data!I15</f>
        <v>4486</v>
      </c>
      <c r="H15" s="2">
        <f t="shared" si="0"/>
        <v>108373</v>
      </c>
      <c r="I15" s="2">
        <f>Employee_Data!J15</f>
        <v>9259</v>
      </c>
      <c r="J15" s="2">
        <f>Employee_Data!K15</f>
        <v>7258</v>
      </c>
      <c r="K15" s="2">
        <f t="shared" si="1"/>
        <v>91856</v>
      </c>
      <c r="L15" s="2">
        <f>Employee_Data!L15</f>
        <v>9259</v>
      </c>
      <c r="M15" s="6">
        <f t="shared" si="2"/>
        <v>117632</v>
      </c>
    </row>
    <row r="16" spans="1:13" ht="18" customHeight="1" x14ac:dyDescent="0.3">
      <c r="A16" s="5" t="str">
        <f>Employee_Data!A16</f>
        <v>EMP1015</v>
      </c>
      <c r="B16" s="1" t="str">
        <f>Employee_Data!B16</f>
        <v>Marketing</v>
      </c>
      <c r="C16" s="2">
        <f>Employee_Data!E16</f>
        <v>57874</v>
      </c>
      <c r="D16" s="2">
        <f>Employee_Data!F16</f>
        <v>15832</v>
      </c>
      <c r="E16" s="2">
        <f>Employee_Data!G16</f>
        <v>6075</v>
      </c>
      <c r="F16" s="2">
        <f>Employee_Data!H16</f>
        <v>3097</v>
      </c>
      <c r="G16" s="2">
        <f>Employee_Data!I16</f>
        <v>2903</v>
      </c>
      <c r="H16" s="2">
        <f t="shared" si="0"/>
        <v>85781</v>
      </c>
      <c r="I16" s="2">
        <f>Employee_Data!J16</f>
        <v>6945</v>
      </c>
      <c r="J16" s="2">
        <f>Employee_Data!K16</f>
        <v>3338</v>
      </c>
      <c r="K16" s="2">
        <f t="shared" si="1"/>
        <v>75498</v>
      </c>
      <c r="L16" s="2">
        <f>Employee_Data!L16</f>
        <v>6945</v>
      </c>
      <c r="M16" s="6">
        <f t="shared" si="2"/>
        <v>92726</v>
      </c>
    </row>
    <row r="17" spans="1:13" ht="18" customHeight="1" x14ac:dyDescent="0.3">
      <c r="A17" s="5" t="str">
        <f>Employee_Data!A17</f>
        <v>EMP1016</v>
      </c>
      <c r="B17" s="1" t="str">
        <f>Employee_Data!B17</f>
        <v>Marketing</v>
      </c>
      <c r="C17" s="2">
        <f>Employee_Data!E17</f>
        <v>47961</v>
      </c>
      <c r="D17" s="2">
        <f>Employee_Data!F17</f>
        <v>9404</v>
      </c>
      <c r="E17" s="2">
        <f>Employee_Data!G17</f>
        <v>4240</v>
      </c>
      <c r="F17" s="2">
        <f>Employee_Data!H17</f>
        <v>2655</v>
      </c>
      <c r="G17" s="2">
        <f>Employee_Data!I17</f>
        <v>3260</v>
      </c>
      <c r="H17" s="2">
        <f t="shared" si="0"/>
        <v>67520</v>
      </c>
      <c r="I17" s="2">
        <f>Employee_Data!J17</f>
        <v>5755</v>
      </c>
      <c r="J17" s="2">
        <f>Employee_Data!K17</f>
        <v>2066</v>
      </c>
      <c r="K17" s="2">
        <f t="shared" si="1"/>
        <v>59699</v>
      </c>
      <c r="L17" s="2">
        <f>Employee_Data!L17</f>
        <v>5755</v>
      </c>
      <c r="M17" s="6">
        <f t="shared" si="2"/>
        <v>73275</v>
      </c>
    </row>
    <row r="18" spans="1:13" ht="18" customHeight="1" x14ac:dyDescent="0.3">
      <c r="A18" s="5" t="str">
        <f>Employee_Data!A18</f>
        <v>EMP1017</v>
      </c>
      <c r="B18" s="1" t="str">
        <f>Employee_Data!B18</f>
        <v>Finance</v>
      </c>
      <c r="C18" s="2">
        <f>Employee_Data!E18</f>
        <v>48877</v>
      </c>
      <c r="D18" s="2">
        <f>Employee_Data!F18</f>
        <v>10388</v>
      </c>
      <c r="E18" s="2">
        <f>Employee_Data!G18</f>
        <v>4998</v>
      </c>
      <c r="F18" s="2">
        <f>Employee_Data!H18</f>
        <v>2540</v>
      </c>
      <c r="G18" s="2">
        <f>Employee_Data!I18</f>
        <v>4246</v>
      </c>
      <c r="H18" s="2">
        <f t="shared" si="0"/>
        <v>71049</v>
      </c>
      <c r="I18" s="2">
        <f>Employee_Data!J18</f>
        <v>5865</v>
      </c>
      <c r="J18" s="2">
        <f>Employee_Data!K18</f>
        <v>3876</v>
      </c>
      <c r="K18" s="2">
        <f t="shared" si="1"/>
        <v>61308</v>
      </c>
      <c r="L18" s="2">
        <f>Employee_Data!L18</f>
        <v>5865</v>
      </c>
      <c r="M18" s="6">
        <f t="shared" si="2"/>
        <v>76914</v>
      </c>
    </row>
    <row r="19" spans="1:13" ht="18" customHeight="1" x14ac:dyDescent="0.3">
      <c r="A19" s="5" t="str">
        <f>Employee_Data!A19</f>
        <v>EMP1018</v>
      </c>
      <c r="B19" s="1" t="str">
        <f>Employee_Data!B19</f>
        <v>Sales</v>
      </c>
      <c r="C19" s="2">
        <f>Employee_Data!E19</f>
        <v>37146</v>
      </c>
      <c r="D19" s="2">
        <f>Employee_Data!F19</f>
        <v>8052</v>
      </c>
      <c r="E19" s="2">
        <f>Employee_Data!G19</f>
        <v>2547</v>
      </c>
      <c r="F19" s="2">
        <f>Employee_Data!H19</f>
        <v>725</v>
      </c>
      <c r="G19" s="2">
        <f>Employee_Data!I19</f>
        <v>4865</v>
      </c>
      <c r="H19" s="2">
        <f t="shared" si="0"/>
        <v>53335</v>
      </c>
      <c r="I19" s="2">
        <f>Employee_Data!J19</f>
        <v>4458</v>
      </c>
      <c r="J19" s="2">
        <f>Employee_Data!K19</f>
        <v>2130</v>
      </c>
      <c r="K19" s="2">
        <f t="shared" si="1"/>
        <v>46747</v>
      </c>
      <c r="L19" s="2">
        <f>Employee_Data!L19</f>
        <v>4458</v>
      </c>
      <c r="M19" s="6">
        <f t="shared" si="2"/>
        <v>57793</v>
      </c>
    </row>
    <row r="20" spans="1:13" ht="18" customHeight="1" x14ac:dyDescent="0.3">
      <c r="A20" s="5" t="str">
        <f>Employee_Data!A20</f>
        <v>EMP1019</v>
      </c>
      <c r="B20" s="1" t="str">
        <f>Employee_Data!B20</f>
        <v>Sales</v>
      </c>
      <c r="C20" s="2">
        <f>Employee_Data!E20</f>
        <v>100746</v>
      </c>
      <c r="D20" s="2">
        <f>Employee_Data!F20</f>
        <v>26142</v>
      </c>
      <c r="E20" s="2">
        <f>Employee_Data!G20</f>
        <v>8582</v>
      </c>
      <c r="F20" s="2">
        <f>Employee_Data!H20</f>
        <v>4650</v>
      </c>
      <c r="G20" s="2">
        <f>Employee_Data!I20</f>
        <v>2463</v>
      </c>
      <c r="H20" s="2">
        <f t="shared" si="0"/>
        <v>142583</v>
      </c>
      <c r="I20" s="2">
        <f>Employee_Data!J20</f>
        <v>12090</v>
      </c>
      <c r="J20" s="2">
        <f>Employee_Data!K20</f>
        <v>4139</v>
      </c>
      <c r="K20" s="2">
        <f t="shared" si="1"/>
        <v>126354</v>
      </c>
      <c r="L20" s="2">
        <f>Employee_Data!L20</f>
        <v>12090</v>
      </c>
      <c r="M20" s="6">
        <f t="shared" si="2"/>
        <v>154673</v>
      </c>
    </row>
    <row r="21" spans="1:13" ht="18" customHeight="1" x14ac:dyDescent="0.3">
      <c r="A21" s="5" t="str">
        <f>Employee_Data!A21</f>
        <v>EMP1020</v>
      </c>
      <c r="B21" s="1" t="str">
        <f>Employee_Data!B21</f>
        <v>Finance</v>
      </c>
      <c r="C21" s="2">
        <f>Employee_Data!E21</f>
        <v>52067</v>
      </c>
      <c r="D21" s="2">
        <f>Employee_Data!F21</f>
        <v>9499</v>
      </c>
      <c r="E21" s="2">
        <f>Employee_Data!G21</f>
        <v>4956</v>
      </c>
      <c r="F21" s="2">
        <f>Employee_Data!H21</f>
        <v>738</v>
      </c>
      <c r="G21" s="2">
        <f>Employee_Data!I21</f>
        <v>4702</v>
      </c>
      <c r="H21" s="2">
        <f t="shared" si="0"/>
        <v>71962</v>
      </c>
      <c r="I21" s="2">
        <f>Employee_Data!J21</f>
        <v>6248</v>
      </c>
      <c r="J21" s="2">
        <f>Employee_Data!K21</f>
        <v>5075</v>
      </c>
      <c r="K21" s="2">
        <f t="shared" si="1"/>
        <v>60639</v>
      </c>
      <c r="L21" s="2">
        <f>Employee_Data!L21</f>
        <v>6248</v>
      </c>
      <c r="M21" s="6">
        <f t="shared" si="2"/>
        <v>78210</v>
      </c>
    </row>
    <row r="22" spans="1:13" ht="18" customHeight="1" x14ac:dyDescent="0.3">
      <c r="A22" s="5" t="str">
        <f>Employee_Data!A22</f>
        <v>EMP1021</v>
      </c>
      <c r="B22" s="1" t="str">
        <f>Employee_Data!B22</f>
        <v>Sales</v>
      </c>
      <c r="C22" s="2">
        <f>Employee_Data!E22</f>
        <v>58440</v>
      </c>
      <c r="D22" s="2">
        <f>Employee_Data!F22</f>
        <v>16089</v>
      </c>
      <c r="E22" s="2">
        <f>Employee_Data!G22</f>
        <v>4275</v>
      </c>
      <c r="F22" s="2">
        <f>Employee_Data!H22</f>
        <v>2584</v>
      </c>
      <c r="G22" s="2">
        <f>Employee_Data!I22</f>
        <v>2861</v>
      </c>
      <c r="H22" s="2">
        <f t="shared" si="0"/>
        <v>84249</v>
      </c>
      <c r="I22" s="2">
        <f>Employee_Data!J22</f>
        <v>7013</v>
      </c>
      <c r="J22" s="2">
        <f>Employee_Data!K22</f>
        <v>6088</v>
      </c>
      <c r="K22" s="2">
        <f t="shared" si="1"/>
        <v>71148</v>
      </c>
      <c r="L22" s="2">
        <f>Employee_Data!L22</f>
        <v>7013</v>
      </c>
      <c r="M22" s="6">
        <f t="shared" si="2"/>
        <v>91262</v>
      </c>
    </row>
    <row r="23" spans="1:13" ht="18" customHeight="1" x14ac:dyDescent="0.3">
      <c r="A23" s="5" t="str">
        <f>Employee_Data!A23</f>
        <v>EMP1022</v>
      </c>
      <c r="B23" s="1" t="str">
        <f>Employee_Data!B23</f>
        <v>Marketing</v>
      </c>
      <c r="C23" s="2">
        <f>Employee_Data!E23</f>
        <v>30975</v>
      </c>
      <c r="D23" s="2">
        <f>Employee_Data!F23</f>
        <v>8212</v>
      </c>
      <c r="E23" s="2">
        <f>Employee_Data!G23</f>
        <v>2236</v>
      </c>
      <c r="F23" s="2">
        <f>Employee_Data!H23</f>
        <v>420</v>
      </c>
      <c r="G23" s="2">
        <f>Employee_Data!I23</f>
        <v>2784</v>
      </c>
      <c r="H23" s="2">
        <f t="shared" si="0"/>
        <v>44627</v>
      </c>
      <c r="I23" s="2">
        <f>Employee_Data!J23</f>
        <v>3717</v>
      </c>
      <c r="J23" s="2">
        <f>Employee_Data!K23</f>
        <v>3116</v>
      </c>
      <c r="K23" s="2">
        <f t="shared" si="1"/>
        <v>37794</v>
      </c>
      <c r="L23" s="2">
        <f>Employee_Data!L23</f>
        <v>3717</v>
      </c>
      <c r="M23" s="6">
        <f t="shared" si="2"/>
        <v>48344</v>
      </c>
    </row>
    <row r="24" spans="1:13" ht="18" customHeight="1" x14ac:dyDescent="0.3">
      <c r="A24" s="5" t="str">
        <f>Employee_Data!A24</f>
        <v>EMP1023</v>
      </c>
      <c r="B24" s="1" t="str">
        <f>Employee_Data!B24</f>
        <v>Finance</v>
      </c>
      <c r="C24" s="2">
        <f>Employee_Data!E24</f>
        <v>106631</v>
      </c>
      <c r="D24" s="2">
        <f>Employee_Data!F24</f>
        <v>21421</v>
      </c>
      <c r="E24" s="2">
        <f>Employee_Data!G24</f>
        <v>10341</v>
      </c>
      <c r="F24" s="2">
        <f>Employee_Data!H24</f>
        <v>3059</v>
      </c>
      <c r="G24" s="2">
        <f>Employee_Data!I24</f>
        <v>1271</v>
      </c>
      <c r="H24" s="2">
        <f t="shared" si="0"/>
        <v>142723</v>
      </c>
      <c r="I24" s="2">
        <f>Employee_Data!J24</f>
        <v>12796</v>
      </c>
      <c r="J24" s="2">
        <f>Employee_Data!K24</f>
        <v>4901</v>
      </c>
      <c r="K24" s="2">
        <f t="shared" si="1"/>
        <v>125026</v>
      </c>
      <c r="L24" s="2">
        <f>Employee_Data!L24</f>
        <v>12796</v>
      </c>
      <c r="M24" s="6">
        <f t="shared" si="2"/>
        <v>155519</v>
      </c>
    </row>
    <row r="25" spans="1:13" ht="18" customHeight="1" x14ac:dyDescent="0.3">
      <c r="A25" s="5" t="str">
        <f>Employee_Data!A25</f>
        <v>EMP1024</v>
      </c>
      <c r="B25" s="1" t="str">
        <f>Employee_Data!B25</f>
        <v>HR</v>
      </c>
      <c r="C25" s="2">
        <f>Employee_Data!E25</f>
        <v>57533</v>
      </c>
      <c r="D25" s="2">
        <f>Employee_Data!F25</f>
        <v>12424</v>
      </c>
      <c r="E25" s="2">
        <f>Employee_Data!G25</f>
        <v>4059</v>
      </c>
      <c r="F25" s="2">
        <f>Employee_Data!H25</f>
        <v>3725</v>
      </c>
      <c r="G25" s="2">
        <f>Employee_Data!I25</f>
        <v>4051</v>
      </c>
      <c r="H25" s="2">
        <f t="shared" si="0"/>
        <v>81792</v>
      </c>
      <c r="I25" s="2">
        <f>Employee_Data!J25</f>
        <v>6904</v>
      </c>
      <c r="J25" s="2">
        <f>Employee_Data!K25</f>
        <v>5394</v>
      </c>
      <c r="K25" s="2">
        <f t="shared" si="1"/>
        <v>69494</v>
      </c>
      <c r="L25" s="2">
        <f>Employee_Data!L25</f>
        <v>6904</v>
      </c>
      <c r="M25" s="6">
        <f t="shared" si="2"/>
        <v>88696</v>
      </c>
    </row>
    <row r="26" spans="1:13" ht="18" customHeight="1" x14ac:dyDescent="0.3">
      <c r="A26" s="5" t="str">
        <f>Employee_Data!A26</f>
        <v>EMP1025</v>
      </c>
      <c r="B26" s="1" t="str">
        <f>Employee_Data!B26</f>
        <v>Sales</v>
      </c>
      <c r="C26" s="2">
        <f>Employee_Data!E26</f>
        <v>47334</v>
      </c>
      <c r="D26" s="2">
        <f>Employee_Data!F26</f>
        <v>10894</v>
      </c>
      <c r="E26" s="2">
        <f>Employee_Data!G26</f>
        <v>5012</v>
      </c>
      <c r="F26" s="2">
        <f>Employee_Data!H26</f>
        <v>2461</v>
      </c>
      <c r="G26" s="2">
        <f>Employee_Data!I26</f>
        <v>3510</v>
      </c>
      <c r="H26" s="2">
        <f t="shared" si="0"/>
        <v>69211</v>
      </c>
      <c r="I26" s="2">
        <f>Employee_Data!J26</f>
        <v>5680</v>
      </c>
      <c r="J26" s="2">
        <f>Employee_Data!K26</f>
        <v>4304</v>
      </c>
      <c r="K26" s="2">
        <f t="shared" si="1"/>
        <v>59227</v>
      </c>
      <c r="L26" s="2">
        <f>Employee_Data!L26</f>
        <v>5680</v>
      </c>
      <c r="M26" s="6">
        <f t="shared" si="2"/>
        <v>74891</v>
      </c>
    </row>
    <row r="27" spans="1:13" ht="18" customHeight="1" x14ac:dyDescent="0.3">
      <c r="A27" s="5" t="str">
        <f>Employee_Data!A27</f>
        <v>EMP1026</v>
      </c>
      <c r="B27" s="1" t="str">
        <f>Employee_Data!B27</f>
        <v>Operations</v>
      </c>
      <c r="C27" s="2">
        <f>Employee_Data!E27</f>
        <v>41403</v>
      </c>
      <c r="D27" s="2">
        <f>Employee_Data!F27</f>
        <v>9849</v>
      </c>
      <c r="E27" s="2">
        <f>Employee_Data!G27</f>
        <v>3341</v>
      </c>
      <c r="F27" s="2">
        <f>Employee_Data!H27</f>
        <v>2226</v>
      </c>
      <c r="G27" s="2">
        <f>Employee_Data!I27</f>
        <v>1641</v>
      </c>
      <c r="H27" s="2">
        <f t="shared" si="0"/>
        <v>58460</v>
      </c>
      <c r="I27" s="2">
        <f>Employee_Data!J27</f>
        <v>4968</v>
      </c>
      <c r="J27" s="2">
        <f>Employee_Data!K27</f>
        <v>1567</v>
      </c>
      <c r="K27" s="2">
        <f t="shared" si="1"/>
        <v>51925</v>
      </c>
      <c r="L27" s="2">
        <f>Employee_Data!L27</f>
        <v>4968</v>
      </c>
      <c r="M27" s="6">
        <f t="shared" si="2"/>
        <v>63428</v>
      </c>
    </row>
    <row r="28" spans="1:13" ht="18" customHeight="1" x14ac:dyDescent="0.3">
      <c r="A28" s="5" t="str">
        <f>Employee_Data!A28</f>
        <v>EMP1027</v>
      </c>
      <c r="B28" s="1" t="str">
        <f>Employee_Data!B28</f>
        <v>Marketing</v>
      </c>
      <c r="C28" s="2">
        <f>Employee_Data!E28</f>
        <v>50841</v>
      </c>
      <c r="D28" s="2">
        <f>Employee_Data!F28</f>
        <v>13526</v>
      </c>
      <c r="E28" s="2">
        <f>Employee_Data!G28</f>
        <v>3433</v>
      </c>
      <c r="F28" s="2">
        <f>Employee_Data!H28</f>
        <v>158</v>
      </c>
      <c r="G28" s="2">
        <f>Employee_Data!I28</f>
        <v>1516</v>
      </c>
      <c r="H28" s="2">
        <f t="shared" si="0"/>
        <v>69474</v>
      </c>
      <c r="I28" s="2">
        <f>Employee_Data!J28</f>
        <v>6101</v>
      </c>
      <c r="J28" s="2">
        <f>Employee_Data!K28</f>
        <v>3310</v>
      </c>
      <c r="K28" s="2">
        <f t="shared" si="1"/>
        <v>60063</v>
      </c>
      <c r="L28" s="2">
        <f>Employee_Data!L28</f>
        <v>6101</v>
      </c>
      <c r="M28" s="6">
        <f t="shared" si="2"/>
        <v>75575</v>
      </c>
    </row>
    <row r="29" spans="1:13" ht="18" customHeight="1" x14ac:dyDescent="0.3">
      <c r="A29" s="5" t="str">
        <f>Employee_Data!A29</f>
        <v>EMP1028</v>
      </c>
      <c r="B29" s="1" t="str">
        <f>Employee_Data!B29</f>
        <v>Sales</v>
      </c>
      <c r="C29" s="2">
        <f>Employee_Data!E29</f>
        <v>47508</v>
      </c>
      <c r="D29" s="2">
        <f>Employee_Data!F29</f>
        <v>9841</v>
      </c>
      <c r="E29" s="2">
        <f>Employee_Data!G29</f>
        <v>5585</v>
      </c>
      <c r="F29" s="2">
        <f>Employee_Data!H29</f>
        <v>1738</v>
      </c>
      <c r="G29" s="2">
        <f>Employee_Data!I29</f>
        <v>4210</v>
      </c>
      <c r="H29" s="2">
        <f t="shared" si="0"/>
        <v>68882</v>
      </c>
      <c r="I29" s="2">
        <f>Employee_Data!J29</f>
        <v>5701</v>
      </c>
      <c r="J29" s="2">
        <f>Employee_Data!K29</f>
        <v>2000</v>
      </c>
      <c r="K29" s="2">
        <f t="shared" si="1"/>
        <v>61181</v>
      </c>
      <c r="L29" s="2">
        <f>Employee_Data!L29</f>
        <v>5701</v>
      </c>
      <c r="M29" s="6">
        <f t="shared" si="2"/>
        <v>74583</v>
      </c>
    </row>
    <row r="30" spans="1:13" ht="18" customHeight="1" x14ac:dyDescent="0.3">
      <c r="A30" s="5" t="str">
        <f>Employee_Data!A30</f>
        <v>EMP1029</v>
      </c>
      <c r="B30" s="1" t="str">
        <f>Employee_Data!B30</f>
        <v>Sales</v>
      </c>
      <c r="C30" s="2">
        <f>Employee_Data!E30</f>
        <v>34966</v>
      </c>
      <c r="D30" s="2">
        <f>Employee_Data!F30</f>
        <v>6778</v>
      </c>
      <c r="E30" s="2">
        <f>Employee_Data!G30</f>
        <v>2073</v>
      </c>
      <c r="F30" s="2">
        <f>Employee_Data!H30</f>
        <v>2712</v>
      </c>
      <c r="G30" s="2">
        <f>Employee_Data!I30</f>
        <v>3573</v>
      </c>
      <c r="H30" s="2">
        <f t="shared" si="0"/>
        <v>50102</v>
      </c>
      <c r="I30" s="2">
        <f>Employee_Data!J30</f>
        <v>4196</v>
      </c>
      <c r="J30" s="2">
        <f>Employee_Data!K30</f>
        <v>1031</v>
      </c>
      <c r="K30" s="2">
        <f t="shared" si="1"/>
        <v>44875</v>
      </c>
      <c r="L30" s="2">
        <f>Employee_Data!L30</f>
        <v>4196</v>
      </c>
      <c r="M30" s="6">
        <f t="shared" si="2"/>
        <v>54298</v>
      </c>
    </row>
    <row r="31" spans="1:13" ht="18" customHeight="1" x14ac:dyDescent="0.3">
      <c r="A31" s="5" t="str">
        <f>Employee_Data!A31</f>
        <v>EMP1030</v>
      </c>
      <c r="B31" s="1" t="str">
        <f>Employee_Data!B31</f>
        <v>Marketing</v>
      </c>
      <c r="C31" s="2">
        <f>Employee_Data!E31</f>
        <v>33177</v>
      </c>
      <c r="D31" s="2">
        <f>Employee_Data!F31</f>
        <v>6232</v>
      </c>
      <c r="E31" s="2">
        <f>Employee_Data!G31</f>
        <v>1718</v>
      </c>
      <c r="F31" s="2">
        <f>Employee_Data!H31</f>
        <v>2555</v>
      </c>
      <c r="G31" s="2">
        <f>Employee_Data!I31</f>
        <v>4180</v>
      </c>
      <c r="H31" s="2">
        <f t="shared" si="0"/>
        <v>47862</v>
      </c>
      <c r="I31" s="2">
        <f>Employee_Data!J31</f>
        <v>3981</v>
      </c>
      <c r="J31" s="2">
        <f>Employee_Data!K31</f>
        <v>2710</v>
      </c>
      <c r="K31" s="2">
        <f t="shared" si="1"/>
        <v>41171</v>
      </c>
      <c r="L31" s="2">
        <f>Employee_Data!L31</f>
        <v>3981</v>
      </c>
      <c r="M31" s="6">
        <f t="shared" si="2"/>
        <v>51843</v>
      </c>
    </row>
    <row r="32" spans="1:13" ht="18" customHeight="1" x14ac:dyDescent="0.3">
      <c r="A32" s="5" t="str">
        <f>Employee_Data!A32</f>
        <v>EMP1031</v>
      </c>
      <c r="B32" s="1" t="str">
        <f>Employee_Data!B32</f>
        <v>Sales</v>
      </c>
      <c r="C32" s="2">
        <f>Employee_Data!E32</f>
        <v>57305</v>
      </c>
      <c r="D32" s="2">
        <f>Employee_Data!F32</f>
        <v>11211</v>
      </c>
      <c r="E32" s="2">
        <f>Employee_Data!G32</f>
        <v>3869</v>
      </c>
      <c r="F32" s="2">
        <f>Employee_Data!H32</f>
        <v>2518</v>
      </c>
      <c r="G32" s="2">
        <f>Employee_Data!I32</f>
        <v>3573</v>
      </c>
      <c r="H32" s="2">
        <f t="shared" si="0"/>
        <v>78476</v>
      </c>
      <c r="I32" s="2">
        <f>Employee_Data!J32</f>
        <v>6877</v>
      </c>
      <c r="J32" s="2">
        <f>Employee_Data!K32</f>
        <v>4268</v>
      </c>
      <c r="K32" s="2">
        <f t="shared" si="1"/>
        <v>67331</v>
      </c>
      <c r="L32" s="2">
        <f>Employee_Data!L32</f>
        <v>6877</v>
      </c>
      <c r="M32" s="6">
        <f t="shared" si="2"/>
        <v>85353</v>
      </c>
    </row>
    <row r="33" spans="1:13" ht="18" customHeight="1" x14ac:dyDescent="0.3">
      <c r="A33" s="5" t="str">
        <f>Employee_Data!A33</f>
        <v>EMP1032</v>
      </c>
      <c r="B33" s="1" t="str">
        <f>Employee_Data!B33</f>
        <v>Marketing</v>
      </c>
      <c r="C33" s="2">
        <f>Employee_Data!E33</f>
        <v>58500</v>
      </c>
      <c r="D33" s="2">
        <f>Employee_Data!F33</f>
        <v>14847</v>
      </c>
      <c r="E33" s="2">
        <f>Employee_Data!G33</f>
        <v>5195</v>
      </c>
      <c r="F33" s="2">
        <f>Employee_Data!H33</f>
        <v>2863</v>
      </c>
      <c r="G33" s="2">
        <f>Employee_Data!I33</f>
        <v>2098</v>
      </c>
      <c r="H33" s="2">
        <f t="shared" si="0"/>
        <v>83503</v>
      </c>
      <c r="I33" s="2">
        <f>Employee_Data!J33</f>
        <v>7020</v>
      </c>
      <c r="J33" s="2">
        <f>Employee_Data!K33</f>
        <v>2666</v>
      </c>
      <c r="K33" s="2">
        <f t="shared" si="1"/>
        <v>73817</v>
      </c>
      <c r="L33" s="2">
        <f>Employee_Data!L33</f>
        <v>7020</v>
      </c>
      <c r="M33" s="6">
        <f t="shared" si="2"/>
        <v>90523</v>
      </c>
    </row>
    <row r="34" spans="1:13" ht="18" customHeight="1" x14ac:dyDescent="0.3">
      <c r="A34" s="5" t="str">
        <f>Employee_Data!A34</f>
        <v>EMP1033</v>
      </c>
      <c r="B34" s="1" t="str">
        <f>Employee_Data!B34</f>
        <v>Marketing</v>
      </c>
      <c r="C34" s="2">
        <f>Employee_Data!E34</f>
        <v>64128</v>
      </c>
      <c r="D34" s="2">
        <f>Employee_Data!F34</f>
        <v>13735</v>
      </c>
      <c r="E34" s="2">
        <f>Employee_Data!G34</f>
        <v>3618</v>
      </c>
      <c r="F34" s="2">
        <f>Employee_Data!H34</f>
        <v>483</v>
      </c>
      <c r="G34" s="2">
        <f>Employee_Data!I34</f>
        <v>1557</v>
      </c>
      <c r="H34" s="2">
        <f t="shared" ref="H34:H65" si="3">SUM(C34:G34)</f>
        <v>83521</v>
      </c>
      <c r="I34" s="2">
        <f>Employee_Data!J34</f>
        <v>7695</v>
      </c>
      <c r="J34" s="2">
        <f>Employee_Data!K34</f>
        <v>5973</v>
      </c>
      <c r="K34" s="2">
        <f t="shared" ref="K34:K65" si="4">H34-I34-J34</f>
        <v>69853</v>
      </c>
      <c r="L34" s="2">
        <f>Employee_Data!L34</f>
        <v>7695</v>
      </c>
      <c r="M34" s="6">
        <f t="shared" ref="M34:M65" si="5">H34+L34</f>
        <v>91216</v>
      </c>
    </row>
    <row r="35" spans="1:13" ht="18" customHeight="1" x14ac:dyDescent="0.3">
      <c r="A35" s="5" t="str">
        <f>Employee_Data!A35</f>
        <v>EMP1034</v>
      </c>
      <c r="B35" s="1" t="str">
        <f>Employee_Data!B35</f>
        <v>Technology</v>
      </c>
      <c r="C35" s="2">
        <f>Employee_Data!E35</f>
        <v>38457</v>
      </c>
      <c r="D35" s="2">
        <f>Employee_Data!F35</f>
        <v>9858</v>
      </c>
      <c r="E35" s="2">
        <f>Employee_Data!G35</f>
        <v>4095</v>
      </c>
      <c r="F35" s="2">
        <f>Employee_Data!H35</f>
        <v>1065</v>
      </c>
      <c r="G35" s="2">
        <f>Employee_Data!I35</f>
        <v>2323</v>
      </c>
      <c r="H35" s="2">
        <f t="shared" si="3"/>
        <v>55798</v>
      </c>
      <c r="I35" s="2">
        <f>Employee_Data!J35</f>
        <v>4615</v>
      </c>
      <c r="J35" s="2">
        <f>Employee_Data!K35</f>
        <v>3019</v>
      </c>
      <c r="K35" s="2">
        <f t="shared" si="4"/>
        <v>48164</v>
      </c>
      <c r="L35" s="2">
        <f>Employee_Data!L35</f>
        <v>4615</v>
      </c>
      <c r="M35" s="6">
        <f t="shared" si="5"/>
        <v>60413</v>
      </c>
    </row>
    <row r="36" spans="1:13" ht="18" customHeight="1" x14ac:dyDescent="0.3">
      <c r="A36" s="5" t="str">
        <f>Employee_Data!A36</f>
        <v>EMP1035</v>
      </c>
      <c r="B36" s="1" t="str">
        <f>Employee_Data!B36</f>
        <v>Technology</v>
      </c>
      <c r="C36" s="2">
        <f>Employee_Data!E36</f>
        <v>77580</v>
      </c>
      <c r="D36" s="2">
        <f>Employee_Data!F36</f>
        <v>20843</v>
      </c>
      <c r="E36" s="2">
        <f>Employee_Data!G36</f>
        <v>5296</v>
      </c>
      <c r="F36" s="2">
        <f>Employee_Data!H36</f>
        <v>95</v>
      </c>
      <c r="G36" s="2">
        <f>Employee_Data!I36</f>
        <v>4667</v>
      </c>
      <c r="H36" s="2">
        <f t="shared" si="3"/>
        <v>108481</v>
      </c>
      <c r="I36" s="2">
        <f>Employee_Data!J36</f>
        <v>9310</v>
      </c>
      <c r="J36" s="2">
        <f>Employee_Data!K36</f>
        <v>4965</v>
      </c>
      <c r="K36" s="2">
        <f t="shared" si="4"/>
        <v>94206</v>
      </c>
      <c r="L36" s="2">
        <f>Employee_Data!L36</f>
        <v>9310</v>
      </c>
      <c r="M36" s="6">
        <f t="shared" si="5"/>
        <v>117791</v>
      </c>
    </row>
    <row r="37" spans="1:13" ht="18" customHeight="1" x14ac:dyDescent="0.3">
      <c r="A37" s="5" t="str">
        <f>Employee_Data!A37</f>
        <v>EMP1036</v>
      </c>
      <c r="B37" s="1" t="str">
        <f>Employee_Data!B37</f>
        <v>Operations</v>
      </c>
      <c r="C37" s="2">
        <f>Employee_Data!E37</f>
        <v>72663</v>
      </c>
      <c r="D37" s="2">
        <f>Employee_Data!F37</f>
        <v>13592</v>
      </c>
      <c r="E37" s="2">
        <f>Employee_Data!G37</f>
        <v>6901</v>
      </c>
      <c r="F37" s="2">
        <f>Employee_Data!H37</f>
        <v>154</v>
      </c>
      <c r="G37" s="2">
        <f>Employee_Data!I37</f>
        <v>2929</v>
      </c>
      <c r="H37" s="2">
        <f t="shared" si="3"/>
        <v>96239</v>
      </c>
      <c r="I37" s="2">
        <f>Employee_Data!J37</f>
        <v>8720</v>
      </c>
      <c r="J37" s="2">
        <f>Employee_Data!K37</f>
        <v>6688</v>
      </c>
      <c r="K37" s="2">
        <f t="shared" si="4"/>
        <v>80831</v>
      </c>
      <c r="L37" s="2">
        <f>Employee_Data!L37</f>
        <v>8720</v>
      </c>
      <c r="M37" s="6">
        <f t="shared" si="5"/>
        <v>104959</v>
      </c>
    </row>
    <row r="38" spans="1:13" ht="18" customHeight="1" x14ac:dyDescent="0.3">
      <c r="A38" s="5" t="str">
        <f>Employee_Data!A38</f>
        <v>EMP1037</v>
      </c>
      <c r="B38" s="1" t="str">
        <f>Employee_Data!B38</f>
        <v>Finance</v>
      </c>
      <c r="C38" s="2">
        <f>Employee_Data!E38</f>
        <v>71144</v>
      </c>
      <c r="D38" s="2">
        <f>Employee_Data!F38</f>
        <v>16066</v>
      </c>
      <c r="E38" s="2">
        <f>Employee_Data!G38</f>
        <v>6274</v>
      </c>
      <c r="F38" s="2">
        <f>Employee_Data!H38</f>
        <v>5358</v>
      </c>
      <c r="G38" s="2">
        <f>Employee_Data!I38</f>
        <v>1931</v>
      </c>
      <c r="H38" s="2">
        <f t="shared" si="3"/>
        <v>100773</v>
      </c>
      <c r="I38" s="2">
        <f>Employee_Data!J38</f>
        <v>8537</v>
      </c>
      <c r="J38" s="2">
        <f>Employee_Data!K38</f>
        <v>7164</v>
      </c>
      <c r="K38" s="2">
        <f t="shared" si="4"/>
        <v>85072</v>
      </c>
      <c r="L38" s="2">
        <f>Employee_Data!L38</f>
        <v>8537</v>
      </c>
      <c r="M38" s="6">
        <f t="shared" si="5"/>
        <v>109310</v>
      </c>
    </row>
    <row r="39" spans="1:13" ht="18" customHeight="1" x14ac:dyDescent="0.3">
      <c r="A39" s="5" t="str">
        <f>Employee_Data!A39</f>
        <v>EMP1038</v>
      </c>
      <c r="B39" s="1" t="str">
        <f>Employee_Data!B39</f>
        <v>Marketing</v>
      </c>
      <c r="C39" s="2">
        <f>Employee_Data!E39</f>
        <v>48764</v>
      </c>
      <c r="D39" s="2">
        <f>Employee_Data!F39</f>
        <v>9116</v>
      </c>
      <c r="E39" s="2">
        <f>Employee_Data!G39</f>
        <v>2782</v>
      </c>
      <c r="F39" s="2">
        <f>Employee_Data!H39</f>
        <v>71</v>
      </c>
      <c r="G39" s="2">
        <f>Employee_Data!I39</f>
        <v>472</v>
      </c>
      <c r="H39" s="2">
        <f t="shared" si="3"/>
        <v>61205</v>
      </c>
      <c r="I39" s="2">
        <f>Employee_Data!J39</f>
        <v>5852</v>
      </c>
      <c r="J39" s="2">
        <f>Employee_Data!K39</f>
        <v>3375</v>
      </c>
      <c r="K39" s="2">
        <f t="shared" si="4"/>
        <v>51978</v>
      </c>
      <c r="L39" s="2">
        <f>Employee_Data!L39</f>
        <v>5852</v>
      </c>
      <c r="M39" s="6">
        <f t="shared" si="5"/>
        <v>67057</v>
      </c>
    </row>
    <row r="40" spans="1:13" ht="18" customHeight="1" x14ac:dyDescent="0.3">
      <c r="A40" s="5" t="str">
        <f>Employee_Data!A40</f>
        <v>EMP1039</v>
      </c>
      <c r="B40" s="1" t="str">
        <f>Employee_Data!B40</f>
        <v>Operations</v>
      </c>
      <c r="C40" s="2">
        <f>Employee_Data!E40</f>
        <v>68132</v>
      </c>
      <c r="D40" s="2">
        <f>Employee_Data!F40</f>
        <v>18020</v>
      </c>
      <c r="E40" s="2">
        <f>Employee_Data!G40</f>
        <v>3518</v>
      </c>
      <c r="F40" s="2">
        <f>Employee_Data!H40</f>
        <v>4439</v>
      </c>
      <c r="G40" s="2">
        <f>Employee_Data!I40</f>
        <v>1409</v>
      </c>
      <c r="H40" s="2">
        <f t="shared" si="3"/>
        <v>95518</v>
      </c>
      <c r="I40" s="2">
        <f>Employee_Data!J40</f>
        <v>8176</v>
      </c>
      <c r="J40" s="2">
        <f>Employee_Data!K40</f>
        <v>2366</v>
      </c>
      <c r="K40" s="2">
        <f t="shared" si="4"/>
        <v>84976</v>
      </c>
      <c r="L40" s="2">
        <f>Employee_Data!L40</f>
        <v>8176</v>
      </c>
      <c r="M40" s="6">
        <f t="shared" si="5"/>
        <v>103694</v>
      </c>
    </row>
    <row r="41" spans="1:13" ht="18" customHeight="1" x14ac:dyDescent="0.3">
      <c r="A41" s="5" t="str">
        <f>Employee_Data!A41</f>
        <v>EMP1040</v>
      </c>
      <c r="B41" s="1" t="str">
        <f>Employee_Data!B41</f>
        <v>Sales</v>
      </c>
      <c r="C41" s="2">
        <f>Employee_Data!E41</f>
        <v>39338</v>
      </c>
      <c r="D41" s="2">
        <f>Employee_Data!F41</f>
        <v>10533</v>
      </c>
      <c r="E41" s="2">
        <f>Employee_Data!G41</f>
        <v>3991</v>
      </c>
      <c r="F41" s="2">
        <f>Employee_Data!H41</f>
        <v>2529</v>
      </c>
      <c r="G41" s="2">
        <f>Employee_Data!I41</f>
        <v>1410</v>
      </c>
      <c r="H41" s="2">
        <f t="shared" si="3"/>
        <v>57801</v>
      </c>
      <c r="I41" s="2">
        <f>Employee_Data!J41</f>
        <v>4721</v>
      </c>
      <c r="J41" s="2">
        <f>Employee_Data!K41</f>
        <v>1627</v>
      </c>
      <c r="K41" s="2">
        <f t="shared" si="4"/>
        <v>51453</v>
      </c>
      <c r="L41" s="2">
        <f>Employee_Data!L41</f>
        <v>4721</v>
      </c>
      <c r="M41" s="6">
        <f t="shared" si="5"/>
        <v>62522</v>
      </c>
    </row>
    <row r="42" spans="1:13" ht="18" customHeight="1" x14ac:dyDescent="0.3">
      <c r="A42" s="5" t="str">
        <f>Employee_Data!A42</f>
        <v>EMP1041</v>
      </c>
      <c r="B42" s="1" t="str">
        <f>Employee_Data!B42</f>
        <v>Marketing</v>
      </c>
      <c r="C42" s="2">
        <f>Employee_Data!E42</f>
        <v>62506</v>
      </c>
      <c r="D42" s="2">
        <f>Employee_Data!F42</f>
        <v>13830</v>
      </c>
      <c r="E42" s="2">
        <f>Employee_Data!G42</f>
        <v>4753</v>
      </c>
      <c r="F42" s="2">
        <f>Employee_Data!H42</f>
        <v>3882</v>
      </c>
      <c r="G42" s="2">
        <f>Employee_Data!I42</f>
        <v>1704</v>
      </c>
      <c r="H42" s="2">
        <f t="shared" si="3"/>
        <v>86675</v>
      </c>
      <c r="I42" s="2">
        <f>Employee_Data!J42</f>
        <v>7501</v>
      </c>
      <c r="J42" s="2">
        <f>Employee_Data!K42</f>
        <v>6005</v>
      </c>
      <c r="K42" s="2">
        <f t="shared" si="4"/>
        <v>73169</v>
      </c>
      <c r="L42" s="2">
        <f>Employee_Data!L42</f>
        <v>7501</v>
      </c>
      <c r="M42" s="6">
        <f t="shared" si="5"/>
        <v>94176</v>
      </c>
    </row>
    <row r="43" spans="1:13" ht="18" customHeight="1" x14ac:dyDescent="0.3">
      <c r="A43" s="5" t="str">
        <f>Employee_Data!A43</f>
        <v>EMP1042</v>
      </c>
      <c r="B43" s="1" t="str">
        <f>Employee_Data!B43</f>
        <v>Sales</v>
      </c>
      <c r="C43" s="2">
        <f>Employee_Data!E43</f>
        <v>48150</v>
      </c>
      <c r="D43" s="2">
        <f>Employee_Data!F43</f>
        <v>12282</v>
      </c>
      <c r="E43" s="2">
        <f>Employee_Data!G43</f>
        <v>4951</v>
      </c>
      <c r="F43" s="2">
        <f>Employee_Data!H43</f>
        <v>397</v>
      </c>
      <c r="G43" s="2">
        <f>Employee_Data!I43</f>
        <v>4513</v>
      </c>
      <c r="H43" s="2">
        <f t="shared" si="3"/>
        <v>70293</v>
      </c>
      <c r="I43" s="2">
        <f>Employee_Data!J43</f>
        <v>5778</v>
      </c>
      <c r="J43" s="2">
        <f>Employee_Data!K43</f>
        <v>3246</v>
      </c>
      <c r="K43" s="2">
        <f t="shared" si="4"/>
        <v>61269</v>
      </c>
      <c r="L43" s="2">
        <f>Employee_Data!L43</f>
        <v>5778</v>
      </c>
      <c r="M43" s="6">
        <f t="shared" si="5"/>
        <v>76071</v>
      </c>
    </row>
    <row r="44" spans="1:13" ht="18" customHeight="1" x14ac:dyDescent="0.3">
      <c r="A44" s="5" t="str">
        <f>Employee_Data!A44</f>
        <v>EMP1043</v>
      </c>
      <c r="B44" s="1" t="str">
        <f>Employee_Data!B44</f>
        <v>Marketing</v>
      </c>
      <c r="C44" s="2">
        <f>Employee_Data!E44</f>
        <v>28698</v>
      </c>
      <c r="D44" s="2">
        <f>Employee_Data!F44</f>
        <v>5453</v>
      </c>
      <c r="E44" s="2">
        <f>Employee_Data!G44</f>
        <v>1542</v>
      </c>
      <c r="F44" s="2">
        <f>Employee_Data!H44</f>
        <v>2201</v>
      </c>
      <c r="G44" s="2">
        <f>Employee_Data!I44</f>
        <v>4236</v>
      </c>
      <c r="H44" s="2">
        <f t="shared" si="3"/>
        <v>42130</v>
      </c>
      <c r="I44" s="2">
        <f>Employee_Data!J44</f>
        <v>3444</v>
      </c>
      <c r="J44" s="2">
        <f>Employee_Data!K44</f>
        <v>1598</v>
      </c>
      <c r="K44" s="2">
        <f t="shared" si="4"/>
        <v>37088</v>
      </c>
      <c r="L44" s="2">
        <f>Employee_Data!L44</f>
        <v>3444</v>
      </c>
      <c r="M44" s="6">
        <f t="shared" si="5"/>
        <v>45574</v>
      </c>
    </row>
    <row r="45" spans="1:13" ht="18" customHeight="1" x14ac:dyDescent="0.3">
      <c r="A45" s="5" t="str">
        <f>Employee_Data!A45</f>
        <v>EMP1044</v>
      </c>
      <c r="B45" s="1" t="str">
        <f>Employee_Data!B45</f>
        <v>Technology</v>
      </c>
      <c r="C45" s="2">
        <f>Employee_Data!E45</f>
        <v>77307</v>
      </c>
      <c r="D45" s="2">
        <f>Employee_Data!F45</f>
        <v>18348</v>
      </c>
      <c r="E45" s="2">
        <f>Employee_Data!G45</f>
        <v>7285</v>
      </c>
      <c r="F45" s="2">
        <f>Employee_Data!H45</f>
        <v>2773</v>
      </c>
      <c r="G45" s="2">
        <f>Employee_Data!I45</f>
        <v>1466</v>
      </c>
      <c r="H45" s="2">
        <f t="shared" si="3"/>
        <v>107179</v>
      </c>
      <c r="I45" s="2">
        <f>Employee_Data!J45</f>
        <v>9277</v>
      </c>
      <c r="J45" s="2">
        <f>Employee_Data!K45</f>
        <v>3889</v>
      </c>
      <c r="K45" s="2">
        <f t="shared" si="4"/>
        <v>94013</v>
      </c>
      <c r="L45" s="2">
        <f>Employee_Data!L45</f>
        <v>9277</v>
      </c>
      <c r="M45" s="6">
        <f t="shared" si="5"/>
        <v>116456</v>
      </c>
    </row>
    <row r="46" spans="1:13" ht="18" customHeight="1" x14ac:dyDescent="0.3">
      <c r="A46" s="5" t="str">
        <f>Employee_Data!A46</f>
        <v>EMP1045</v>
      </c>
      <c r="B46" s="1" t="str">
        <f>Employee_Data!B46</f>
        <v>Finance</v>
      </c>
      <c r="C46" s="2">
        <f>Employee_Data!E46</f>
        <v>48020</v>
      </c>
      <c r="D46" s="2">
        <f>Employee_Data!F46</f>
        <v>12445</v>
      </c>
      <c r="E46" s="2">
        <f>Employee_Data!G46</f>
        <v>5055</v>
      </c>
      <c r="F46" s="2">
        <f>Employee_Data!H46</f>
        <v>350</v>
      </c>
      <c r="G46" s="2">
        <f>Employee_Data!I46</f>
        <v>2472</v>
      </c>
      <c r="H46" s="2">
        <f t="shared" si="3"/>
        <v>68342</v>
      </c>
      <c r="I46" s="2">
        <f>Employee_Data!J46</f>
        <v>5762</v>
      </c>
      <c r="J46" s="2">
        <f>Employee_Data!K46</f>
        <v>1468</v>
      </c>
      <c r="K46" s="2">
        <f t="shared" si="4"/>
        <v>61112</v>
      </c>
      <c r="L46" s="2">
        <f>Employee_Data!L46</f>
        <v>5762</v>
      </c>
      <c r="M46" s="6">
        <f t="shared" si="5"/>
        <v>74104</v>
      </c>
    </row>
    <row r="47" spans="1:13" ht="18" customHeight="1" x14ac:dyDescent="0.3">
      <c r="A47" s="5" t="str">
        <f>Employee_Data!A47</f>
        <v>EMP1046</v>
      </c>
      <c r="B47" s="1" t="str">
        <f>Employee_Data!B47</f>
        <v>Operations</v>
      </c>
      <c r="C47" s="2">
        <f>Employee_Data!E47</f>
        <v>51714</v>
      </c>
      <c r="D47" s="2">
        <f>Employee_Data!F47</f>
        <v>13899</v>
      </c>
      <c r="E47" s="2">
        <f>Employee_Data!G47</f>
        <v>3856</v>
      </c>
      <c r="F47" s="2">
        <f>Employee_Data!H47</f>
        <v>484</v>
      </c>
      <c r="G47" s="2">
        <f>Employee_Data!I47</f>
        <v>715</v>
      </c>
      <c r="H47" s="2">
        <f t="shared" si="3"/>
        <v>70668</v>
      </c>
      <c r="I47" s="2">
        <f>Employee_Data!J47</f>
        <v>6206</v>
      </c>
      <c r="J47" s="2">
        <f>Employee_Data!K47</f>
        <v>4235</v>
      </c>
      <c r="K47" s="2">
        <f t="shared" si="4"/>
        <v>60227</v>
      </c>
      <c r="L47" s="2">
        <f>Employee_Data!L47</f>
        <v>6206</v>
      </c>
      <c r="M47" s="6">
        <f t="shared" si="5"/>
        <v>76874</v>
      </c>
    </row>
    <row r="48" spans="1:13" ht="18" customHeight="1" x14ac:dyDescent="0.3">
      <c r="A48" s="5" t="str">
        <f>Employee_Data!A48</f>
        <v>EMP1047</v>
      </c>
      <c r="B48" s="1" t="str">
        <f>Employee_Data!B48</f>
        <v>Finance</v>
      </c>
      <c r="C48" s="2">
        <f>Employee_Data!E48</f>
        <v>29542</v>
      </c>
      <c r="D48" s="2">
        <f>Employee_Data!F48</f>
        <v>6576</v>
      </c>
      <c r="E48" s="2">
        <f>Employee_Data!G48</f>
        <v>1937</v>
      </c>
      <c r="F48" s="2">
        <f>Employee_Data!H48</f>
        <v>937</v>
      </c>
      <c r="G48" s="2">
        <f>Employee_Data!I48</f>
        <v>4459</v>
      </c>
      <c r="H48" s="2">
        <f t="shared" si="3"/>
        <v>43451</v>
      </c>
      <c r="I48" s="2">
        <f>Employee_Data!J48</f>
        <v>3545</v>
      </c>
      <c r="J48" s="2">
        <f>Employee_Data!K48</f>
        <v>1149</v>
      </c>
      <c r="K48" s="2">
        <f t="shared" si="4"/>
        <v>38757</v>
      </c>
      <c r="L48" s="2">
        <f>Employee_Data!L48</f>
        <v>3545</v>
      </c>
      <c r="M48" s="6">
        <f t="shared" si="5"/>
        <v>46996</v>
      </c>
    </row>
    <row r="49" spans="1:13" ht="18" customHeight="1" x14ac:dyDescent="0.3">
      <c r="A49" s="5" t="str">
        <f>Employee_Data!A49</f>
        <v>EMP1048</v>
      </c>
      <c r="B49" s="1" t="str">
        <f>Employee_Data!B49</f>
        <v>Sales</v>
      </c>
      <c r="C49" s="2">
        <f>Employee_Data!E49</f>
        <v>54962</v>
      </c>
      <c r="D49" s="2">
        <f>Employee_Data!F49</f>
        <v>13088</v>
      </c>
      <c r="E49" s="2">
        <f>Employee_Data!G49</f>
        <v>6069</v>
      </c>
      <c r="F49" s="2">
        <f>Employee_Data!H49</f>
        <v>3871</v>
      </c>
      <c r="G49" s="2">
        <f>Employee_Data!I49</f>
        <v>1183</v>
      </c>
      <c r="H49" s="2">
        <f t="shared" si="3"/>
        <v>79173</v>
      </c>
      <c r="I49" s="2">
        <f>Employee_Data!J49</f>
        <v>6595</v>
      </c>
      <c r="J49" s="2">
        <f>Employee_Data!K49</f>
        <v>5404</v>
      </c>
      <c r="K49" s="2">
        <f t="shared" si="4"/>
        <v>67174</v>
      </c>
      <c r="L49" s="2">
        <f>Employee_Data!L49</f>
        <v>6595</v>
      </c>
      <c r="M49" s="6">
        <f t="shared" si="5"/>
        <v>85768</v>
      </c>
    </row>
    <row r="50" spans="1:13" ht="18" customHeight="1" x14ac:dyDescent="0.3">
      <c r="A50" s="5" t="str">
        <f>Employee_Data!A50</f>
        <v>EMP1049</v>
      </c>
      <c r="B50" s="1" t="str">
        <f>Employee_Data!B50</f>
        <v>Sales</v>
      </c>
      <c r="C50" s="2">
        <f>Employee_Data!E50</f>
        <v>31141</v>
      </c>
      <c r="D50" s="2">
        <f>Employee_Data!F50</f>
        <v>7811</v>
      </c>
      <c r="E50" s="2">
        <f>Employee_Data!G50</f>
        <v>2607</v>
      </c>
      <c r="F50" s="2">
        <f>Employee_Data!H50</f>
        <v>942</v>
      </c>
      <c r="G50" s="2">
        <f>Employee_Data!I50</f>
        <v>3525</v>
      </c>
      <c r="H50" s="2">
        <f t="shared" si="3"/>
        <v>46026</v>
      </c>
      <c r="I50" s="2">
        <f>Employee_Data!J50</f>
        <v>3737</v>
      </c>
      <c r="J50" s="2">
        <f>Employee_Data!K50</f>
        <v>1477</v>
      </c>
      <c r="K50" s="2">
        <f t="shared" si="4"/>
        <v>40812</v>
      </c>
      <c r="L50" s="2">
        <f>Employee_Data!L50</f>
        <v>3737</v>
      </c>
      <c r="M50" s="6">
        <f t="shared" si="5"/>
        <v>49763</v>
      </c>
    </row>
    <row r="51" spans="1:13" ht="18" customHeight="1" x14ac:dyDescent="0.3">
      <c r="A51" s="5" t="str">
        <f>Employee_Data!A51</f>
        <v>EMP1050</v>
      </c>
      <c r="B51" s="1" t="str">
        <f>Employee_Data!B51</f>
        <v>Marketing</v>
      </c>
      <c r="C51" s="2">
        <f>Employee_Data!E51</f>
        <v>39714</v>
      </c>
      <c r="D51" s="2">
        <f>Employee_Data!F51</f>
        <v>8156</v>
      </c>
      <c r="E51" s="2">
        <f>Employee_Data!G51</f>
        <v>3112</v>
      </c>
      <c r="F51" s="2">
        <f>Employee_Data!H51</f>
        <v>1816</v>
      </c>
      <c r="G51" s="2">
        <f>Employee_Data!I51</f>
        <v>3705</v>
      </c>
      <c r="H51" s="2">
        <f t="shared" si="3"/>
        <v>56503</v>
      </c>
      <c r="I51" s="2">
        <f>Employee_Data!J51</f>
        <v>4766</v>
      </c>
      <c r="J51" s="2">
        <f>Employee_Data!K51</f>
        <v>3416</v>
      </c>
      <c r="K51" s="2">
        <f t="shared" si="4"/>
        <v>48321</v>
      </c>
      <c r="L51" s="2">
        <f>Employee_Data!L51</f>
        <v>4766</v>
      </c>
      <c r="M51" s="6">
        <f t="shared" si="5"/>
        <v>61269</v>
      </c>
    </row>
    <row r="52" spans="1:13" ht="18" customHeight="1" x14ac:dyDescent="0.3">
      <c r="A52" s="5" t="str">
        <f>Employee_Data!A52</f>
        <v>EMP1051</v>
      </c>
      <c r="B52" s="1" t="str">
        <f>Employee_Data!B52</f>
        <v>Technology</v>
      </c>
      <c r="C52" s="2">
        <f>Employee_Data!E52</f>
        <v>59683</v>
      </c>
      <c r="D52" s="2">
        <f>Employee_Data!F52</f>
        <v>16485</v>
      </c>
      <c r="E52" s="2">
        <f>Employee_Data!G52</f>
        <v>4550</v>
      </c>
      <c r="F52" s="2">
        <f>Employee_Data!H52</f>
        <v>1364</v>
      </c>
      <c r="G52" s="2">
        <f>Employee_Data!I52</f>
        <v>4343</v>
      </c>
      <c r="H52" s="2">
        <f t="shared" si="3"/>
        <v>86425</v>
      </c>
      <c r="I52" s="2">
        <f>Employee_Data!J52</f>
        <v>7162</v>
      </c>
      <c r="J52" s="2">
        <f>Employee_Data!K52</f>
        <v>2649</v>
      </c>
      <c r="K52" s="2">
        <f t="shared" si="4"/>
        <v>76614</v>
      </c>
      <c r="L52" s="2">
        <f>Employee_Data!L52</f>
        <v>7162</v>
      </c>
      <c r="M52" s="6">
        <f t="shared" si="5"/>
        <v>93587</v>
      </c>
    </row>
    <row r="53" spans="1:13" ht="18" customHeight="1" x14ac:dyDescent="0.3">
      <c r="A53" s="5" t="str">
        <f>Employee_Data!A53</f>
        <v>EMP1052</v>
      </c>
      <c r="B53" s="1" t="str">
        <f>Employee_Data!B53</f>
        <v>Operations</v>
      </c>
      <c r="C53" s="2">
        <f>Employee_Data!E53</f>
        <v>67700</v>
      </c>
      <c r="D53" s="2">
        <f>Employee_Data!F53</f>
        <v>12478</v>
      </c>
      <c r="E53" s="2">
        <f>Employee_Data!G53</f>
        <v>7608</v>
      </c>
      <c r="F53" s="2">
        <f>Employee_Data!H53</f>
        <v>2858</v>
      </c>
      <c r="G53" s="2">
        <f>Employee_Data!I53</f>
        <v>4965</v>
      </c>
      <c r="H53" s="2">
        <f t="shared" si="3"/>
        <v>95609</v>
      </c>
      <c r="I53" s="2">
        <f>Employee_Data!J53</f>
        <v>8124</v>
      </c>
      <c r="J53" s="2">
        <f>Employee_Data!K53</f>
        <v>2137</v>
      </c>
      <c r="K53" s="2">
        <f t="shared" si="4"/>
        <v>85348</v>
      </c>
      <c r="L53" s="2">
        <f>Employee_Data!L53</f>
        <v>8124</v>
      </c>
      <c r="M53" s="6">
        <f t="shared" si="5"/>
        <v>103733</v>
      </c>
    </row>
    <row r="54" spans="1:13" ht="18" customHeight="1" x14ac:dyDescent="0.3">
      <c r="A54" s="5" t="str">
        <f>Employee_Data!A54</f>
        <v>EMP1053</v>
      </c>
      <c r="B54" s="1" t="str">
        <f>Employee_Data!B54</f>
        <v>Technology</v>
      </c>
      <c r="C54" s="2">
        <f>Employee_Data!E54</f>
        <v>51190</v>
      </c>
      <c r="D54" s="2">
        <f>Employee_Data!F54</f>
        <v>12436</v>
      </c>
      <c r="E54" s="2">
        <f>Employee_Data!G54</f>
        <v>5053</v>
      </c>
      <c r="F54" s="2">
        <f>Employee_Data!H54</f>
        <v>1861</v>
      </c>
      <c r="G54" s="2">
        <f>Employee_Data!I54</f>
        <v>3138</v>
      </c>
      <c r="H54" s="2">
        <f t="shared" si="3"/>
        <v>73678</v>
      </c>
      <c r="I54" s="2">
        <f>Employee_Data!J54</f>
        <v>6143</v>
      </c>
      <c r="J54" s="2">
        <f>Employee_Data!K54</f>
        <v>3718</v>
      </c>
      <c r="K54" s="2">
        <f t="shared" si="4"/>
        <v>63817</v>
      </c>
      <c r="L54" s="2">
        <f>Employee_Data!L54</f>
        <v>6143</v>
      </c>
      <c r="M54" s="6">
        <f t="shared" si="5"/>
        <v>79821</v>
      </c>
    </row>
    <row r="55" spans="1:13" ht="18" customHeight="1" x14ac:dyDescent="0.3">
      <c r="A55" s="5" t="str">
        <f>Employee_Data!A55</f>
        <v>EMP1054</v>
      </c>
      <c r="B55" s="1" t="str">
        <f>Employee_Data!B55</f>
        <v>Technology</v>
      </c>
      <c r="C55" s="2">
        <f>Employee_Data!E55</f>
        <v>41323</v>
      </c>
      <c r="D55" s="2">
        <f>Employee_Data!F55</f>
        <v>11400</v>
      </c>
      <c r="E55" s="2">
        <f>Employee_Data!G55</f>
        <v>2234</v>
      </c>
      <c r="F55" s="2">
        <f>Employee_Data!H55</f>
        <v>1304</v>
      </c>
      <c r="G55" s="2">
        <f>Employee_Data!I55</f>
        <v>534</v>
      </c>
      <c r="H55" s="2">
        <f t="shared" si="3"/>
        <v>56795</v>
      </c>
      <c r="I55" s="2">
        <f>Employee_Data!J55</f>
        <v>4959</v>
      </c>
      <c r="J55" s="2">
        <f>Employee_Data!K55</f>
        <v>2081</v>
      </c>
      <c r="K55" s="2">
        <f t="shared" si="4"/>
        <v>49755</v>
      </c>
      <c r="L55" s="2">
        <f>Employee_Data!L55</f>
        <v>4959</v>
      </c>
      <c r="M55" s="6">
        <f t="shared" si="5"/>
        <v>61754</v>
      </c>
    </row>
    <row r="56" spans="1:13" ht="18" customHeight="1" x14ac:dyDescent="0.3">
      <c r="A56" s="5" t="str">
        <f>Employee_Data!A56</f>
        <v>EMP1055</v>
      </c>
      <c r="B56" s="1" t="str">
        <f>Employee_Data!B56</f>
        <v>Sales</v>
      </c>
      <c r="C56" s="2">
        <f>Employee_Data!E56</f>
        <v>56761</v>
      </c>
      <c r="D56" s="2">
        <f>Employee_Data!F56</f>
        <v>12421</v>
      </c>
      <c r="E56" s="2">
        <f>Employee_Data!G56</f>
        <v>3749</v>
      </c>
      <c r="F56" s="2">
        <f>Employee_Data!H56</f>
        <v>1208</v>
      </c>
      <c r="G56" s="2">
        <f>Employee_Data!I56</f>
        <v>1802</v>
      </c>
      <c r="H56" s="2">
        <f t="shared" si="3"/>
        <v>75941</v>
      </c>
      <c r="I56" s="2">
        <f>Employee_Data!J56</f>
        <v>6811</v>
      </c>
      <c r="J56" s="2">
        <f>Employee_Data!K56</f>
        <v>2461</v>
      </c>
      <c r="K56" s="2">
        <f t="shared" si="4"/>
        <v>66669</v>
      </c>
      <c r="L56" s="2">
        <f>Employee_Data!L56</f>
        <v>6811</v>
      </c>
      <c r="M56" s="6">
        <f t="shared" si="5"/>
        <v>82752</v>
      </c>
    </row>
    <row r="57" spans="1:13" ht="18" customHeight="1" x14ac:dyDescent="0.3">
      <c r="A57" s="5" t="str">
        <f>Employee_Data!A57</f>
        <v>EMP1056</v>
      </c>
      <c r="B57" s="1" t="str">
        <f>Employee_Data!B57</f>
        <v>Technology</v>
      </c>
      <c r="C57" s="2">
        <f>Employee_Data!E57</f>
        <v>58216</v>
      </c>
      <c r="D57" s="2">
        <f>Employee_Data!F57</f>
        <v>12873</v>
      </c>
      <c r="E57" s="2">
        <f>Employee_Data!G57</f>
        <v>5367</v>
      </c>
      <c r="F57" s="2">
        <f>Employee_Data!H57</f>
        <v>1262</v>
      </c>
      <c r="G57" s="2">
        <f>Employee_Data!I57</f>
        <v>666</v>
      </c>
      <c r="H57" s="2">
        <f t="shared" si="3"/>
        <v>78384</v>
      </c>
      <c r="I57" s="2">
        <f>Employee_Data!J57</f>
        <v>6986</v>
      </c>
      <c r="J57" s="2">
        <f>Employee_Data!K57</f>
        <v>1754</v>
      </c>
      <c r="K57" s="2">
        <f t="shared" si="4"/>
        <v>69644</v>
      </c>
      <c r="L57" s="2">
        <f>Employee_Data!L57</f>
        <v>6986</v>
      </c>
      <c r="M57" s="6">
        <f t="shared" si="5"/>
        <v>85370</v>
      </c>
    </row>
    <row r="58" spans="1:13" ht="18" customHeight="1" x14ac:dyDescent="0.3">
      <c r="A58" s="5" t="str">
        <f>Employee_Data!A58</f>
        <v>EMP1057</v>
      </c>
      <c r="B58" s="1" t="str">
        <f>Employee_Data!B58</f>
        <v>Marketing</v>
      </c>
      <c r="C58" s="2">
        <f>Employee_Data!E58</f>
        <v>119407</v>
      </c>
      <c r="D58" s="2">
        <f>Employee_Data!F58</f>
        <v>28433</v>
      </c>
      <c r="E58" s="2">
        <f>Employee_Data!G58</f>
        <v>13653</v>
      </c>
      <c r="F58" s="2">
        <f>Employee_Data!H58</f>
        <v>790</v>
      </c>
      <c r="G58" s="2">
        <f>Employee_Data!I58</f>
        <v>4383</v>
      </c>
      <c r="H58" s="2">
        <f t="shared" si="3"/>
        <v>166666</v>
      </c>
      <c r="I58" s="2">
        <f>Employee_Data!J58</f>
        <v>14329</v>
      </c>
      <c r="J58" s="2">
        <f>Employee_Data!K58</f>
        <v>8088</v>
      </c>
      <c r="K58" s="2">
        <f t="shared" si="4"/>
        <v>144249</v>
      </c>
      <c r="L58" s="2">
        <f>Employee_Data!L58</f>
        <v>14329</v>
      </c>
      <c r="M58" s="6">
        <f t="shared" si="5"/>
        <v>180995</v>
      </c>
    </row>
    <row r="59" spans="1:13" ht="18" customHeight="1" x14ac:dyDescent="0.3">
      <c r="A59" s="5" t="str">
        <f>Employee_Data!A59</f>
        <v>EMP1058</v>
      </c>
      <c r="B59" s="1" t="str">
        <f>Employee_Data!B59</f>
        <v>Marketing</v>
      </c>
      <c r="C59" s="2">
        <f>Employee_Data!E59</f>
        <v>54400</v>
      </c>
      <c r="D59" s="2">
        <f>Employee_Data!F59</f>
        <v>14022</v>
      </c>
      <c r="E59" s="2">
        <f>Employee_Data!G59</f>
        <v>4549</v>
      </c>
      <c r="F59" s="2">
        <f>Employee_Data!H59</f>
        <v>4288</v>
      </c>
      <c r="G59" s="2">
        <f>Employee_Data!I59</f>
        <v>1884</v>
      </c>
      <c r="H59" s="2">
        <f t="shared" si="3"/>
        <v>79143</v>
      </c>
      <c r="I59" s="2">
        <f>Employee_Data!J59</f>
        <v>6528</v>
      </c>
      <c r="J59" s="2">
        <f>Employee_Data!K59</f>
        <v>4718</v>
      </c>
      <c r="K59" s="2">
        <f t="shared" si="4"/>
        <v>67897</v>
      </c>
      <c r="L59" s="2">
        <f>Employee_Data!L59</f>
        <v>6528</v>
      </c>
      <c r="M59" s="6">
        <f t="shared" si="5"/>
        <v>85671</v>
      </c>
    </row>
    <row r="60" spans="1:13" ht="18" customHeight="1" x14ac:dyDescent="0.3">
      <c r="A60" s="5" t="str">
        <f>Employee_Data!A60</f>
        <v>EMP1059</v>
      </c>
      <c r="B60" s="1" t="str">
        <f>Employee_Data!B60</f>
        <v>Marketing</v>
      </c>
      <c r="C60" s="2">
        <f>Employee_Data!E60</f>
        <v>76938</v>
      </c>
      <c r="D60" s="2">
        <f>Employee_Data!F60</f>
        <v>18227</v>
      </c>
      <c r="E60" s="2">
        <f>Employee_Data!G60</f>
        <v>4189</v>
      </c>
      <c r="F60" s="2">
        <f>Employee_Data!H60</f>
        <v>227</v>
      </c>
      <c r="G60" s="2">
        <f>Employee_Data!I60</f>
        <v>669</v>
      </c>
      <c r="H60" s="2">
        <f t="shared" si="3"/>
        <v>100250</v>
      </c>
      <c r="I60" s="2">
        <f>Employee_Data!J60</f>
        <v>9233</v>
      </c>
      <c r="J60" s="2">
        <f>Employee_Data!K60</f>
        <v>1895</v>
      </c>
      <c r="K60" s="2">
        <f t="shared" si="4"/>
        <v>89122</v>
      </c>
      <c r="L60" s="2">
        <f>Employee_Data!L60</f>
        <v>9233</v>
      </c>
      <c r="M60" s="6">
        <f t="shared" si="5"/>
        <v>109483</v>
      </c>
    </row>
    <row r="61" spans="1:13" ht="18" customHeight="1" x14ac:dyDescent="0.3">
      <c r="A61" s="5" t="str">
        <f>Employee_Data!A61</f>
        <v>EMP1060</v>
      </c>
      <c r="B61" s="1" t="str">
        <f>Employee_Data!B61</f>
        <v>HR</v>
      </c>
      <c r="C61" s="2">
        <f>Employee_Data!E61</f>
        <v>63384</v>
      </c>
      <c r="D61" s="2">
        <f>Employee_Data!F61</f>
        <v>14796</v>
      </c>
      <c r="E61" s="2">
        <f>Employee_Data!G61</f>
        <v>6496</v>
      </c>
      <c r="F61" s="2">
        <f>Employee_Data!H61</f>
        <v>4630</v>
      </c>
      <c r="G61" s="2">
        <f>Employee_Data!I61</f>
        <v>2926</v>
      </c>
      <c r="H61" s="2">
        <f t="shared" si="3"/>
        <v>92232</v>
      </c>
      <c r="I61" s="2">
        <f>Employee_Data!J61</f>
        <v>7606</v>
      </c>
      <c r="J61" s="2">
        <f>Employee_Data!K61</f>
        <v>5379</v>
      </c>
      <c r="K61" s="2">
        <f t="shared" si="4"/>
        <v>79247</v>
      </c>
      <c r="L61" s="2">
        <f>Employee_Data!L61</f>
        <v>7606</v>
      </c>
      <c r="M61" s="6">
        <f t="shared" si="5"/>
        <v>99838</v>
      </c>
    </row>
    <row r="62" spans="1:13" ht="18" customHeight="1" x14ac:dyDescent="0.3">
      <c r="A62" s="5" t="str">
        <f>Employee_Data!A62</f>
        <v>EMP1061</v>
      </c>
      <c r="B62" s="1" t="str">
        <f>Employee_Data!B62</f>
        <v>HR</v>
      </c>
      <c r="C62" s="2">
        <f>Employee_Data!E62</f>
        <v>58456</v>
      </c>
      <c r="D62" s="2">
        <f>Employee_Data!F62</f>
        <v>11931</v>
      </c>
      <c r="E62" s="2">
        <f>Employee_Data!G62</f>
        <v>3762</v>
      </c>
      <c r="F62" s="2">
        <f>Employee_Data!H62</f>
        <v>1176</v>
      </c>
      <c r="G62" s="2">
        <f>Employee_Data!I62</f>
        <v>1374</v>
      </c>
      <c r="H62" s="2">
        <f t="shared" si="3"/>
        <v>76699</v>
      </c>
      <c r="I62" s="2">
        <f>Employee_Data!J62</f>
        <v>7015</v>
      </c>
      <c r="J62" s="2">
        <f>Employee_Data!K62</f>
        <v>2260</v>
      </c>
      <c r="K62" s="2">
        <f t="shared" si="4"/>
        <v>67424</v>
      </c>
      <c r="L62" s="2">
        <f>Employee_Data!L62</f>
        <v>7015</v>
      </c>
      <c r="M62" s="6">
        <f t="shared" si="5"/>
        <v>83714</v>
      </c>
    </row>
    <row r="63" spans="1:13" ht="18" customHeight="1" x14ac:dyDescent="0.3">
      <c r="A63" s="5" t="str">
        <f>Employee_Data!A63</f>
        <v>EMP1062</v>
      </c>
      <c r="B63" s="1" t="str">
        <f>Employee_Data!B63</f>
        <v>Finance</v>
      </c>
      <c r="C63" s="2">
        <f>Employee_Data!E63</f>
        <v>71657</v>
      </c>
      <c r="D63" s="2">
        <f>Employee_Data!F63</f>
        <v>15465</v>
      </c>
      <c r="E63" s="2">
        <f>Employee_Data!G63</f>
        <v>4152</v>
      </c>
      <c r="F63" s="2">
        <f>Employee_Data!H63</f>
        <v>3850</v>
      </c>
      <c r="G63" s="2">
        <f>Employee_Data!I63</f>
        <v>2602</v>
      </c>
      <c r="H63" s="2">
        <f t="shared" si="3"/>
        <v>97726</v>
      </c>
      <c r="I63" s="2">
        <f>Employee_Data!J63</f>
        <v>8599</v>
      </c>
      <c r="J63" s="2">
        <f>Employee_Data!K63</f>
        <v>5913</v>
      </c>
      <c r="K63" s="2">
        <f t="shared" si="4"/>
        <v>83214</v>
      </c>
      <c r="L63" s="2">
        <f>Employee_Data!L63</f>
        <v>8599</v>
      </c>
      <c r="M63" s="6">
        <f t="shared" si="5"/>
        <v>106325</v>
      </c>
    </row>
    <row r="64" spans="1:13" ht="18" customHeight="1" x14ac:dyDescent="0.3">
      <c r="A64" s="5" t="str">
        <f>Employee_Data!A64</f>
        <v>EMP1063</v>
      </c>
      <c r="B64" s="1" t="str">
        <f>Employee_Data!B64</f>
        <v>Operations</v>
      </c>
      <c r="C64" s="2">
        <f>Employee_Data!E64</f>
        <v>38176</v>
      </c>
      <c r="D64" s="2">
        <f>Employee_Data!F64</f>
        <v>8979</v>
      </c>
      <c r="E64" s="2">
        <f>Employee_Data!G64</f>
        <v>3408</v>
      </c>
      <c r="F64" s="2">
        <f>Employee_Data!H64</f>
        <v>2677</v>
      </c>
      <c r="G64" s="2">
        <f>Employee_Data!I64</f>
        <v>2017</v>
      </c>
      <c r="H64" s="2">
        <f t="shared" si="3"/>
        <v>55257</v>
      </c>
      <c r="I64" s="2">
        <f>Employee_Data!J64</f>
        <v>4581</v>
      </c>
      <c r="J64" s="2">
        <f>Employee_Data!K64</f>
        <v>1421</v>
      </c>
      <c r="K64" s="2">
        <f t="shared" si="4"/>
        <v>49255</v>
      </c>
      <c r="L64" s="2">
        <f>Employee_Data!L64</f>
        <v>4581</v>
      </c>
      <c r="M64" s="6">
        <f t="shared" si="5"/>
        <v>59838</v>
      </c>
    </row>
    <row r="65" spans="1:13" ht="18" customHeight="1" x14ac:dyDescent="0.3">
      <c r="A65" s="5" t="str">
        <f>Employee_Data!A65</f>
        <v>EMP1064</v>
      </c>
      <c r="B65" s="1" t="str">
        <f>Employee_Data!B65</f>
        <v>HR</v>
      </c>
      <c r="C65" s="2">
        <f>Employee_Data!E65</f>
        <v>29252</v>
      </c>
      <c r="D65" s="2">
        <f>Employee_Data!F65</f>
        <v>7080</v>
      </c>
      <c r="E65" s="2">
        <f>Employee_Data!G65</f>
        <v>2904</v>
      </c>
      <c r="F65" s="2">
        <f>Employee_Data!H65</f>
        <v>498</v>
      </c>
      <c r="G65" s="2">
        <f>Employee_Data!I65</f>
        <v>682</v>
      </c>
      <c r="H65" s="2">
        <f t="shared" si="3"/>
        <v>40416</v>
      </c>
      <c r="I65" s="2">
        <f>Employee_Data!J65</f>
        <v>3510</v>
      </c>
      <c r="J65" s="2">
        <f>Employee_Data!K65</f>
        <v>770</v>
      </c>
      <c r="K65" s="2">
        <f t="shared" si="4"/>
        <v>36136</v>
      </c>
      <c r="L65" s="2">
        <f>Employee_Data!L65</f>
        <v>3510</v>
      </c>
      <c r="M65" s="6">
        <f t="shared" si="5"/>
        <v>43926</v>
      </c>
    </row>
    <row r="66" spans="1:13" ht="18" customHeight="1" x14ac:dyDescent="0.3">
      <c r="A66" s="5" t="str">
        <f>Employee_Data!A66</f>
        <v>EMP1065</v>
      </c>
      <c r="B66" s="1" t="str">
        <f>Employee_Data!B66</f>
        <v>Finance</v>
      </c>
      <c r="C66" s="2">
        <f>Employee_Data!E66</f>
        <v>53017</v>
      </c>
      <c r="D66" s="2">
        <f>Employee_Data!F66</f>
        <v>11623</v>
      </c>
      <c r="E66" s="2">
        <f>Employee_Data!G66</f>
        <v>4274</v>
      </c>
      <c r="F66" s="2">
        <f>Employee_Data!H66</f>
        <v>3835</v>
      </c>
      <c r="G66" s="2">
        <f>Employee_Data!I66</f>
        <v>1741</v>
      </c>
      <c r="H66" s="2">
        <f t="shared" ref="H66:H97" si="6">SUM(C66:G66)</f>
        <v>74490</v>
      </c>
      <c r="I66" s="2">
        <f>Employee_Data!J66</f>
        <v>6362</v>
      </c>
      <c r="J66" s="2">
        <f>Employee_Data!K66</f>
        <v>3464</v>
      </c>
      <c r="K66" s="2">
        <f t="shared" ref="K66:K97" si="7">H66-I66-J66</f>
        <v>64664</v>
      </c>
      <c r="L66" s="2">
        <f>Employee_Data!L66</f>
        <v>6362</v>
      </c>
      <c r="M66" s="6">
        <f t="shared" ref="M66:M97" si="8">H66+L66</f>
        <v>80852</v>
      </c>
    </row>
    <row r="67" spans="1:13" ht="18" customHeight="1" x14ac:dyDescent="0.3">
      <c r="A67" s="5" t="str">
        <f>Employee_Data!A67</f>
        <v>EMP1066</v>
      </c>
      <c r="B67" s="1" t="str">
        <f>Employee_Data!B67</f>
        <v>Sales</v>
      </c>
      <c r="C67" s="2">
        <f>Employee_Data!E67</f>
        <v>32854</v>
      </c>
      <c r="D67" s="2">
        <f>Employee_Data!F67</f>
        <v>7634</v>
      </c>
      <c r="E67" s="2">
        <f>Employee_Data!G67</f>
        <v>3247</v>
      </c>
      <c r="F67" s="2">
        <f>Employee_Data!H67</f>
        <v>2093</v>
      </c>
      <c r="G67" s="2">
        <f>Employee_Data!I67</f>
        <v>2297</v>
      </c>
      <c r="H67" s="2">
        <f t="shared" si="6"/>
        <v>48125</v>
      </c>
      <c r="I67" s="2">
        <f>Employee_Data!J67</f>
        <v>3942</v>
      </c>
      <c r="J67" s="2">
        <f>Employee_Data!K67</f>
        <v>3116</v>
      </c>
      <c r="K67" s="2">
        <f t="shared" si="7"/>
        <v>41067</v>
      </c>
      <c r="L67" s="2">
        <f>Employee_Data!L67</f>
        <v>3942</v>
      </c>
      <c r="M67" s="6">
        <f t="shared" si="8"/>
        <v>52067</v>
      </c>
    </row>
    <row r="68" spans="1:13" ht="18" customHeight="1" x14ac:dyDescent="0.3">
      <c r="A68" s="5" t="str">
        <f>Employee_Data!A68</f>
        <v>EMP1067</v>
      </c>
      <c r="B68" s="1" t="str">
        <f>Employee_Data!B68</f>
        <v>Marketing</v>
      </c>
      <c r="C68" s="2">
        <f>Employee_Data!E68</f>
        <v>55607</v>
      </c>
      <c r="D68" s="2">
        <f>Employee_Data!F68</f>
        <v>10264</v>
      </c>
      <c r="E68" s="2">
        <f>Employee_Data!G68</f>
        <v>5197</v>
      </c>
      <c r="F68" s="2">
        <f>Employee_Data!H68</f>
        <v>1545</v>
      </c>
      <c r="G68" s="2">
        <f>Employee_Data!I68</f>
        <v>1046</v>
      </c>
      <c r="H68" s="2">
        <f t="shared" si="6"/>
        <v>73659</v>
      </c>
      <c r="I68" s="2">
        <f>Employee_Data!J68</f>
        <v>6673</v>
      </c>
      <c r="J68" s="2">
        <f>Employee_Data!K68</f>
        <v>3669</v>
      </c>
      <c r="K68" s="2">
        <f t="shared" si="7"/>
        <v>63317</v>
      </c>
      <c r="L68" s="2">
        <f>Employee_Data!L68</f>
        <v>6673</v>
      </c>
      <c r="M68" s="6">
        <f t="shared" si="8"/>
        <v>80332</v>
      </c>
    </row>
    <row r="69" spans="1:13" ht="18" customHeight="1" x14ac:dyDescent="0.3">
      <c r="A69" s="5" t="str">
        <f>Employee_Data!A69</f>
        <v>EMP1068</v>
      </c>
      <c r="B69" s="1" t="str">
        <f>Employee_Data!B69</f>
        <v>Operations</v>
      </c>
      <c r="C69" s="2">
        <f>Employee_Data!E69</f>
        <v>45144</v>
      </c>
      <c r="D69" s="2">
        <f>Employee_Data!F69</f>
        <v>10203</v>
      </c>
      <c r="E69" s="2">
        <f>Employee_Data!G69</f>
        <v>4105</v>
      </c>
      <c r="F69" s="2">
        <f>Employee_Data!H69</f>
        <v>1446</v>
      </c>
      <c r="G69" s="2">
        <f>Employee_Data!I69</f>
        <v>3488</v>
      </c>
      <c r="H69" s="2">
        <f t="shared" si="6"/>
        <v>64386</v>
      </c>
      <c r="I69" s="2">
        <f>Employee_Data!J69</f>
        <v>5417</v>
      </c>
      <c r="J69" s="2">
        <f>Employee_Data!K69</f>
        <v>1816</v>
      </c>
      <c r="K69" s="2">
        <f t="shared" si="7"/>
        <v>57153</v>
      </c>
      <c r="L69" s="2">
        <f>Employee_Data!L69</f>
        <v>5417</v>
      </c>
      <c r="M69" s="6">
        <f t="shared" si="8"/>
        <v>69803</v>
      </c>
    </row>
    <row r="70" spans="1:13" ht="18" customHeight="1" x14ac:dyDescent="0.3">
      <c r="A70" s="5" t="str">
        <f>Employee_Data!A70</f>
        <v>EMP1069</v>
      </c>
      <c r="B70" s="1" t="str">
        <f>Employee_Data!B70</f>
        <v>Marketing</v>
      </c>
      <c r="C70" s="2">
        <f>Employee_Data!E70</f>
        <v>78434</v>
      </c>
      <c r="D70" s="2">
        <f>Employee_Data!F70</f>
        <v>19354</v>
      </c>
      <c r="E70" s="2">
        <f>Employee_Data!G70</f>
        <v>4868</v>
      </c>
      <c r="F70" s="2">
        <f>Employee_Data!H70</f>
        <v>1207</v>
      </c>
      <c r="G70" s="2">
        <f>Employee_Data!I70</f>
        <v>204</v>
      </c>
      <c r="H70" s="2">
        <f t="shared" si="6"/>
        <v>104067</v>
      </c>
      <c r="I70" s="2">
        <f>Employee_Data!J70</f>
        <v>9412</v>
      </c>
      <c r="J70" s="2">
        <f>Employee_Data!K70</f>
        <v>2853</v>
      </c>
      <c r="K70" s="2">
        <f t="shared" si="7"/>
        <v>91802</v>
      </c>
      <c r="L70" s="2">
        <f>Employee_Data!L70</f>
        <v>9412</v>
      </c>
      <c r="M70" s="6">
        <f t="shared" si="8"/>
        <v>113479</v>
      </c>
    </row>
    <row r="71" spans="1:13" ht="18" customHeight="1" x14ac:dyDescent="0.3">
      <c r="A71" s="5" t="str">
        <f>Employee_Data!A71</f>
        <v>EMP1070</v>
      </c>
      <c r="B71" s="1" t="str">
        <f>Employee_Data!B71</f>
        <v>Technology</v>
      </c>
      <c r="C71" s="2">
        <f>Employee_Data!E71</f>
        <v>41716</v>
      </c>
      <c r="D71" s="2">
        <f>Employee_Data!F71</f>
        <v>9798</v>
      </c>
      <c r="E71" s="2">
        <f>Employee_Data!G71</f>
        <v>3646</v>
      </c>
      <c r="F71" s="2">
        <f>Employee_Data!H71</f>
        <v>1188</v>
      </c>
      <c r="G71" s="2">
        <f>Employee_Data!I71</f>
        <v>4471</v>
      </c>
      <c r="H71" s="2">
        <f t="shared" si="6"/>
        <v>60819</v>
      </c>
      <c r="I71" s="2">
        <f>Employee_Data!J71</f>
        <v>5006</v>
      </c>
      <c r="J71" s="2">
        <f>Employee_Data!K71</f>
        <v>1547</v>
      </c>
      <c r="K71" s="2">
        <f t="shared" si="7"/>
        <v>54266</v>
      </c>
      <c r="L71" s="2">
        <f>Employee_Data!L71</f>
        <v>5006</v>
      </c>
      <c r="M71" s="6">
        <f t="shared" si="8"/>
        <v>65825</v>
      </c>
    </row>
    <row r="72" spans="1:13" ht="18" customHeight="1" x14ac:dyDescent="0.3">
      <c r="A72" s="5" t="str">
        <f>Employee_Data!A72</f>
        <v>EMP1071</v>
      </c>
      <c r="B72" s="1" t="str">
        <f>Employee_Data!B72</f>
        <v>Operations</v>
      </c>
      <c r="C72" s="2">
        <f>Employee_Data!E72</f>
        <v>68624</v>
      </c>
      <c r="D72" s="2">
        <f>Employee_Data!F72</f>
        <v>12986</v>
      </c>
      <c r="E72" s="2">
        <f>Employee_Data!G72</f>
        <v>5742</v>
      </c>
      <c r="F72" s="2">
        <f>Employee_Data!H72</f>
        <v>3776</v>
      </c>
      <c r="G72" s="2">
        <f>Employee_Data!I72</f>
        <v>2558</v>
      </c>
      <c r="H72" s="2">
        <f t="shared" si="6"/>
        <v>93686</v>
      </c>
      <c r="I72" s="2">
        <f>Employee_Data!J72</f>
        <v>8235</v>
      </c>
      <c r="J72" s="2">
        <f>Employee_Data!K72</f>
        <v>2514</v>
      </c>
      <c r="K72" s="2">
        <f t="shared" si="7"/>
        <v>82937</v>
      </c>
      <c r="L72" s="2">
        <f>Employee_Data!L72</f>
        <v>8235</v>
      </c>
      <c r="M72" s="6">
        <f t="shared" si="8"/>
        <v>101921</v>
      </c>
    </row>
    <row r="73" spans="1:13" ht="18" customHeight="1" x14ac:dyDescent="0.3">
      <c r="A73" s="5" t="str">
        <f>Employee_Data!A73</f>
        <v>EMP1072</v>
      </c>
      <c r="B73" s="1" t="str">
        <f>Employee_Data!B73</f>
        <v>Marketing</v>
      </c>
      <c r="C73" s="2">
        <f>Employee_Data!E73</f>
        <v>59523</v>
      </c>
      <c r="D73" s="2">
        <f>Employee_Data!F73</f>
        <v>15513</v>
      </c>
      <c r="E73" s="2">
        <f>Employee_Data!G73</f>
        <v>6094</v>
      </c>
      <c r="F73" s="2">
        <f>Employee_Data!H73</f>
        <v>879</v>
      </c>
      <c r="G73" s="2">
        <f>Employee_Data!I73</f>
        <v>1047</v>
      </c>
      <c r="H73" s="2">
        <f t="shared" si="6"/>
        <v>83056</v>
      </c>
      <c r="I73" s="2">
        <f>Employee_Data!J73</f>
        <v>7143</v>
      </c>
      <c r="J73" s="2">
        <f>Employee_Data!K73</f>
        <v>3206</v>
      </c>
      <c r="K73" s="2">
        <f t="shared" si="7"/>
        <v>72707</v>
      </c>
      <c r="L73" s="2">
        <f>Employee_Data!L73</f>
        <v>7143</v>
      </c>
      <c r="M73" s="6">
        <f t="shared" si="8"/>
        <v>90199</v>
      </c>
    </row>
    <row r="74" spans="1:13" ht="18" customHeight="1" x14ac:dyDescent="0.3">
      <c r="A74" s="5" t="str">
        <f>Employee_Data!A74</f>
        <v>EMP1073</v>
      </c>
      <c r="B74" s="1" t="str">
        <f>Employee_Data!B74</f>
        <v>Marketing</v>
      </c>
      <c r="C74" s="2">
        <f>Employee_Data!E74</f>
        <v>56699</v>
      </c>
      <c r="D74" s="2">
        <f>Employee_Data!F74</f>
        <v>12298</v>
      </c>
      <c r="E74" s="2">
        <f>Employee_Data!G74</f>
        <v>4671</v>
      </c>
      <c r="F74" s="2">
        <f>Employee_Data!H74</f>
        <v>3390</v>
      </c>
      <c r="G74" s="2">
        <f>Employee_Data!I74</f>
        <v>183</v>
      </c>
      <c r="H74" s="2">
        <f t="shared" si="6"/>
        <v>77241</v>
      </c>
      <c r="I74" s="2">
        <f>Employee_Data!J74</f>
        <v>6804</v>
      </c>
      <c r="J74" s="2">
        <f>Employee_Data!K74</f>
        <v>2476</v>
      </c>
      <c r="K74" s="2">
        <f t="shared" si="7"/>
        <v>67961</v>
      </c>
      <c r="L74" s="2">
        <f>Employee_Data!L74</f>
        <v>6804</v>
      </c>
      <c r="M74" s="6">
        <f t="shared" si="8"/>
        <v>84045</v>
      </c>
    </row>
    <row r="75" spans="1:13" ht="18" customHeight="1" x14ac:dyDescent="0.3">
      <c r="A75" s="5" t="str">
        <f>Employee_Data!A75</f>
        <v>EMP1074</v>
      </c>
      <c r="B75" s="1" t="str">
        <f>Employee_Data!B75</f>
        <v>Operations</v>
      </c>
      <c r="C75" s="2">
        <f>Employee_Data!E75</f>
        <v>62302</v>
      </c>
      <c r="D75" s="2">
        <f>Employee_Data!F75</f>
        <v>14402</v>
      </c>
      <c r="E75" s="2">
        <f>Employee_Data!G75</f>
        <v>5436</v>
      </c>
      <c r="F75" s="2">
        <f>Employee_Data!H75</f>
        <v>534</v>
      </c>
      <c r="G75" s="2">
        <f>Employee_Data!I75</f>
        <v>2237</v>
      </c>
      <c r="H75" s="2">
        <f t="shared" si="6"/>
        <v>84911</v>
      </c>
      <c r="I75" s="2">
        <f>Employee_Data!J75</f>
        <v>7476</v>
      </c>
      <c r="J75" s="2">
        <f>Employee_Data!K75</f>
        <v>4023</v>
      </c>
      <c r="K75" s="2">
        <f t="shared" si="7"/>
        <v>73412</v>
      </c>
      <c r="L75" s="2">
        <f>Employee_Data!L75</f>
        <v>7476</v>
      </c>
      <c r="M75" s="6">
        <f t="shared" si="8"/>
        <v>92387</v>
      </c>
    </row>
    <row r="76" spans="1:13" ht="18" customHeight="1" x14ac:dyDescent="0.3">
      <c r="A76" s="5" t="str">
        <f>Employee_Data!A76</f>
        <v>EMP1075</v>
      </c>
      <c r="B76" s="1" t="str">
        <f>Employee_Data!B76</f>
        <v>Operations</v>
      </c>
      <c r="C76" s="2">
        <f>Employee_Data!E76</f>
        <v>33750</v>
      </c>
      <c r="D76" s="2">
        <f>Employee_Data!F76</f>
        <v>7348</v>
      </c>
      <c r="E76" s="2">
        <f>Employee_Data!G76</f>
        <v>1735</v>
      </c>
      <c r="F76" s="2">
        <f>Employee_Data!H76</f>
        <v>870</v>
      </c>
      <c r="G76" s="2">
        <f>Employee_Data!I76</f>
        <v>1057</v>
      </c>
      <c r="H76" s="2">
        <f t="shared" si="6"/>
        <v>44760</v>
      </c>
      <c r="I76" s="2">
        <f>Employee_Data!J76</f>
        <v>4050</v>
      </c>
      <c r="J76" s="2">
        <f>Employee_Data!K76</f>
        <v>1614</v>
      </c>
      <c r="K76" s="2">
        <f t="shared" si="7"/>
        <v>39096</v>
      </c>
      <c r="L76" s="2">
        <f>Employee_Data!L76</f>
        <v>4050</v>
      </c>
      <c r="M76" s="6">
        <f t="shared" si="8"/>
        <v>48810</v>
      </c>
    </row>
    <row r="77" spans="1:13" ht="18" customHeight="1" x14ac:dyDescent="0.3">
      <c r="A77" s="5" t="str">
        <f>Employee_Data!A77</f>
        <v>EMP1076</v>
      </c>
      <c r="B77" s="1" t="str">
        <f>Employee_Data!B77</f>
        <v>Operations</v>
      </c>
      <c r="C77" s="2">
        <f>Employee_Data!E77</f>
        <v>51168</v>
      </c>
      <c r="D77" s="2">
        <f>Employee_Data!F77</f>
        <v>12685</v>
      </c>
      <c r="E77" s="2">
        <f>Employee_Data!G77</f>
        <v>5385</v>
      </c>
      <c r="F77" s="2">
        <f>Employee_Data!H77</f>
        <v>2040</v>
      </c>
      <c r="G77" s="2">
        <f>Employee_Data!I77</f>
        <v>435</v>
      </c>
      <c r="H77" s="2">
        <f t="shared" si="6"/>
        <v>71713</v>
      </c>
      <c r="I77" s="2">
        <f>Employee_Data!J77</f>
        <v>6140</v>
      </c>
      <c r="J77" s="2">
        <f>Employee_Data!K77</f>
        <v>3425</v>
      </c>
      <c r="K77" s="2">
        <f t="shared" si="7"/>
        <v>62148</v>
      </c>
      <c r="L77" s="2">
        <f>Employee_Data!L77</f>
        <v>6140</v>
      </c>
      <c r="M77" s="6">
        <f t="shared" si="8"/>
        <v>77853</v>
      </c>
    </row>
    <row r="78" spans="1:13" ht="18" customHeight="1" x14ac:dyDescent="0.3">
      <c r="A78" s="5" t="str">
        <f>Employee_Data!A78</f>
        <v>EMP1077</v>
      </c>
      <c r="B78" s="1" t="str">
        <f>Employee_Data!B78</f>
        <v>Operations</v>
      </c>
      <c r="C78" s="2">
        <f>Employee_Data!E78</f>
        <v>57199</v>
      </c>
      <c r="D78" s="2">
        <f>Employee_Data!F78</f>
        <v>12765</v>
      </c>
      <c r="E78" s="2">
        <f>Employee_Data!G78</f>
        <v>3371</v>
      </c>
      <c r="F78" s="2">
        <f>Employee_Data!H78</f>
        <v>1299</v>
      </c>
      <c r="G78" s="2">
        <f>Employee_Data!I78</f>
        <v>1815</v>
      </c>
      <c r="H78" s="2">
        <f t="shared" si="6"/>
        <v>76449</v>
      </c>
      <c r="I78" s="2">
        <f>Employee_Data!J78</f>
        <v>6864</v>
      </c>
      <c r="J78" s="2">
        <f>Employee_Data!K78</f>
        <v>4088</v>
      </c>
      <c r="K78" s="2">
        <f t="shared" si="7"/>
        <v>65497</v>
      </c>
      <c r="L78" s="2">
        <f>Employee_Data!L78</f>
        <v>6864</v>
      </c>
      <c r="M78" s="6">
        <f t="shared" si="8"/>
        <v>83313</v>
      </c>
    </row>
    <row r="79" spans="1:13" ht="18" customHeight="1" x14ac:dyDescent="0.3">
      <c r="A79" s="5" t="str">
        <f>Employee_Data!A79</f>
        <v>EMP1078</v>
      </c>
      <c r="B79" s="1" t="str">
        <f>Employee_Data!B79</f>
        <v>Marketing</v>
      </c>
      <c r="C79" s="2">
        <f>Employee_Data!E79</f>
        <v>38554</v>
      </c>
      <c r="D79" s="2">
        <f>Employee_Data!F79</f>
        <v>10743</v>
      </c>
      <c r="E79" s="2">
        <f>Employee_Data!G79</f>
        <v>3563</v>
      </c>
      <c r="F79" s="2">
        <f>Employee_Data!H79</f>
        <v>732</v>
      </c>
      <c r="G79" s="2">
        <f>Employee_Data!I79</f>
        <v>509</v>
      </c>
      <c r="H79" s="2">
        <f t="shared" si="6"/>
        <v>54101</v>
      </c>
      <c r="I79" s="2">
        <f>Employee_Data!J79</f>
        <v>4626</v>
      </c>
      <c r="J79" s="2">
        <f>Employee_Data!K79</f>
        <v>1443</v>
      </c>
      <c r="K79" s="2">
        <f t="shared" si="7"/>
        <v>48032</v>
      </c>
      <c r="L79" s="2">
        <f>Employee_Data!L79</f>
        <v>4626</v>
      </c>
      <c r="M79" s="6">
        <f t="shared" si="8"/>
        <v>58727</v>
      </c>
    </row>
    <row r="80" spans="1:13" ht="18" customHeight="1" x14ac:dyDescent="0.3">
      <c r="A80" s="5" t="str">
        <f>Employee_Data!A80</f>
        <v>EMP1079</v>
      </c>
      <c r="B80" s="1" t="str">
        <f>Employee_Data!B80</f>
        <v>HR</v>
      </c>
      <c r="C80" s="2">
        <f>Employee_Data!E80</f>
        <v>39613</v>
      </c>
      <c r="D80" s="2">
        <f>Employee_Data!F80</f>
        <v>7869</v>
      </c>
      <c r="E80" s="2">
        <f>Employee_Data!G80</f>
        <v>2771</v>
      </c>
      <c r="F80" s="2">
        <f>Employee_Data!H80</f>
        <v>549</v>
      </c>
      <c r="G80" s="2">
        <f>Employee_Data!I80</f>
        <v>4484</v>
      </c>
      <c r="H80" s="2">
        <f t="shared" si="6"/>
        <v>55286</v>
      </c>
      <c r="I80" s="2">
        <f>Employee_Data!J80</f>
        <v>4754</v>
      </c>
      <c r="J80" s="2">
        <f>Employee_Data!K80</f>
        <v>1254</v>
      </c>
      <c r="K80" s="2">
        <f t="shared" si="7"/>
        <v>49278</v>
      </c>
      <c r="L80" s="2">
        <f>Employee_Data!L80</f>
        <v>4754</v>
      </c>
      <c r="M80" s="6">
        <f t="shared" si="8"/>
        <v>60040</v>
      </c>
    </row>
    <row r="81" spans="1:13" ht="18" customHeight="1" x14ac:dyDescent="0.3">
      <c r="A81" s="5" t="str">
        <f>Employee_Data!A81</f>
        <v>EMP1080</v>
      </c>
      <c r="B81" s="1" t="str">
        <f>Employee_Data!B81</f>
        <v>Marketing</v>
      </c>
      <c r="C81" s="2">
        <f>Employee_Data!E81</f>
        <v>32324</v>
      </c>
      <c r="D81" s="2">
        <f>Employee_Data!F81</f>
        <v>8994</v>
      </c>
      <c r="E81" s="2">
        <f>Employee_Data!G81</f>
        <v>1870</v>
      </c>
      <c r="F81" s="2">
        <f>Employee_Data!H81</f>
        <v>1029</v>
      </c>
      <c r="G81" s="2">
        <f>Employee_Data!I81</f>
        <v>4847</v>
      </c>
      <c r="H81" s="2">
        <f t="shared" si="6"/>
        <v>49064</v>
      </c>
      <c r="I81" s="2">
        <f>Employee_Data!J81</f>
        <v>3879</v>
      </c>
      <c r="J81" s="2">
        <f>Employee_Data!K81</f>
        <v>3250</v>
      </c>
      <c r="K81" s="2">
        <f t="shared" si="7"/>
        <v>41935</v>
      </c>
      <c r="L81" s="2">
        <f>Employee_Data!L81</f>
        <v>3879</v>
      </c>
      <c r="M81" s="6">
        <f t="shared" si="8"/>
        <v>52943</v>
      </c>
    </row>
    <row r="82" spans="1:13" ht="18" customHeight="1" x14ac:dyDescent="0.3">
      <c r="A82" s="5" t="str">
        <f>Employee_Data!A82</f>
        <v>EMP1081</v>
      </c>
      <c r="B82" s="1" t="str">
        <f>Employee_Data!B82</f>
        <v>Technology</v>
      </c>
      <c r="C82" s="2">
        <f>Employee_Data!E82</f>
        <v>116685</v>
      </c>
      <c r="D82" s="2">
        <f>Employee_Data!F82</f>
        <v>22997</v>
      </c>
      <c r="E82" s="2">
        <f>Employee_Data!G82</f>
        <v>11296</v>
      </c>
      <c r="F82" s="2">
        <f>Employee_Data!H82</f>
        <v>8676</v>
      </c>
      <c r="G82" s="2">
        <f>Employee_Data!I82</f>
        <v>2784</v>
      </c>
      <c r="H82" s="2">
        <f t="shared" si="6"/>
        <v>162438</v>
      </c>
      <c r="I82" s="2">
        <f>Employee_Data!J82</f>
        <v>14002</v>
      </c>
      <c r="J82" s="2">
        <f>Employee_Data!K82</f>
        <v>8060</v>
      </c>
      <c r="K82" s="2">
        <f t="shared" si="7"/>
        <v>140376</v>
      </c>
      <c r="L82" s="2">
        <f>Employee_Data!L82</f>
        <v>14002</v>
      </c>
      <c r="M82" s="6">
        <f t="shared" si="8"/>
        <v>176440</v>
      </c>
    </row>
    <row r="83" spans="1:13" ht="18" customHeight="1" x14ac:dyDescent="0.3">
      <c r="A83" s="5" t="str">
        <f>Employee_Data!A83</f>
        <v>EMP1082</v>
      </c>
      <c r="B83" s="1" t="str">
        <f>Employee_Data!B83</f>
        <v>Sales</v>
      </c>
      <c r="C83" s="2">
        <f>Employee_Data!E83</f>
        <v>58340</v>
      </c>
      <c r="D83" s="2">
        <f>Employee_Data!F83</f>
        <v>11592</v>
      </c>
      <c r="E83" s="2">
        <f>Employee_Data!G83</f>
        <v>4239</v>
      </c>
      <c r="F83" s="2">
        <f>Employee_Data!H83</f>
        <v>1986</v>
      </c>
      <c r="G83" s="2">
        <f>Employee_Data!I83</f>
        <v>2538</v>
      </c>
      <c r="H83" s="2">
        <f t="shared" si="6"/>
        <v>78695</v>
      </c>
      <c r="I83" s="2">
        <f>Employee_Data!J83</f>
        <v>7001</v>
      </c>
      <c r="J83" s="2">
        <f>Employee_Data!K83</f>
        <v>2477</v>
      </c>
      <c r="K83" s="2">
        <f t="shared" si="7"/>
        <v>69217</v>
      </c>
      <c r="L83" s="2">
        <f>Employee_Data!L83</f>
        <v>7001</v>
      </c>
      <c r="M83" s="6">
        <f t="shared" si="8"/>
        <v>85696</v>
      </c>
    </row>
    <row r="84" spans="1:13" ht="18" customHeight="1" x14ac:dyDescent="0.3">
      <c r="A84" s="45" t="str">
        <f>Employee_Data!A84</f>
        <v>EMP1083</v>
      </c>
      <c r="B84" s="45" t="str">
        <f>Employee_Data!B84</f>
        <v>HR</v>
      </c>
      <c r="C84" s="46">
        <f>Employee_Data!E84</f>
        <v>57941</v>
      </c>
      <c r="D84" s="46">
        <f>Employee_Data!F84</f>
        <v>12102</v>
      </c>
      <c r="E84" s="46">
        <f>Employee_Data!G84</f>
        <v>5254</v>
      </c>
      <c r="F84" s="46">
        <f>Employee_Data!H84</f>
        <v>716</v>
      </c>
      <c r="G84" s="46">
        <f>Employee_Data!I84</f>
        <v>2406</v>
      </c>
      <c r="H84" s="46">
        <f t="shared" si="6"/>
        <v>78419</v>
      </c>
      <c r="I84" s="46">
        <f>Employee_Data!J84</f>
        <v>6953</v>
      </c>
      <c r="J84" s="46">
        <f>Employee_Data!K84</f>
        <v>3713</v>
      </c>
      <c r="K84" s="46">
        <f t="shared" si="7"/>
        <v>67753</v>
      </c>
      <c r="L84" s="46">
        <f>Employee_Data!L84</f>
        <v>6953</v>
      </c>
      <c r="M84" s="46">
        <f t="shared" si="8"/>
        <v>85372</v>
      </c>
    </row>
    <row r="85" spans="1:13" ht="18" customHeight="1" x14ac:dyDescent="0.3">
      <c r="A85" s="45" t="str">
        <f>Employee_Data!A85</f>
        <v>EMP1084</v>
      </c>
      <c r="B85" s="45" t="str">
        <f>Employee_Data!B85</f>
        <v>Marketing</v>
      </c>
      <c r="C85" s="46">
        <f>Employee_Data!E85</f>
        <v>54615</v>
      </c>
      <c r="D85" s="46">
        <f>Employee_Data!F85</f>
        <v>10565</v>
      </c>
      <c r="E85" s="46">
        <f>Employee_Data!G85</f>
        <v>2973</v>
      </c>
      <c r="F85" s="46">
        <f>Employee_Data!H85</f>
        <v>4325</v>
      </c>
      <c r="G85" s="46">
        <f>Employee_Data!I85</f>
        <v>1612</v>
      </c>
      <c r="H85" s="46">
        <f t="shared" si="6"/>
        <v>74090</v>
      </c>
      <c r="I85" s="46">
        <f>Employee_Data!J85</f>
        <v>6554</v>
      </c>
      <c r="J85" s="46">
        <f>Employee_Data!K85</f>
        <v>4632</v>
      </c>
      <c r="K85" s="46">
        <f t="shared" si="7"/>
        <v>62904</v>
      </c>
      <c r="L85" s="46">
        <f>Employee_Data!L85</f>
        <v>6554</v>
      </c>
      <c r="M85" s="46">
        <f t="shared" si="8"/>
        <v>80644</v>
      </c>
    </row>
    <row r="86" spans="1:13" ht="18" customHeight="1" x14ac:dyDescent="0.3">
      <c r="A86" s="45" t="str">
        <f>Employee_Data!A86</f>
        <v>EMP1085</v>
      </c>
      <c r="B86" s="45" t="str">
        <f>Employee_Data!B86</f>
        <v>Finance</v>
      </c>
      <c r="C86" s="46">
        <f>Employee_Data!E86</f>
        <v>38568</v>
      </c>
      <c r="D86" s="46">
        <f>Employee_Data!F86</f>
        <v>9874</v>
      </c>
      <c r="E86" s="46">
        <f>Employee_Data!G86</f>
        <v>3536</v>
      </c>
      <c r="F86" s="46">
        <f>Employee_Data!H86</f>
        <v>1455</v>
      </c>
      <c r="G86" s="46">
        <f>Employee_Data!I86</f>
        <v>2059</v>
      </c>
      <c r="H86" s="46">
        <f t="shared" si="6"/>
        <v>55492</v>
      </c>
      <c r="I86" s="46">
        <f>Employee_Data!J86</f>
        <v>4628</v>
      </c>
      <c r="J86" s="46">
        <f>Employee_Data!K86</f>
        <v>2082</v>
      </c>
      <c r="K86" s="46">
        <f t="shared" si="7"/>
        <v>48782</v>
      </c>
      <c r="L86" s="46">
        <f>Employee_Data!L86</f>
        <v>4628</v>
      </c>
      <c r="M86" s="46">
        <f t="shared" si="8"/>
        <v>60120</v>
      </c>
    </row>
    <row r="87" spans="1:13" ht="18" customHeight="1" x14ac:dyDescent="0.3">
      <c r="A87" s="45" t="str">
        <f>Employee_Data!A87</f>
        <v>EMP1086</v>
      </c>
      <c r="B87" s="45" t="str">
        <f>Employee_Data!B87</f>
        <v>HR</v>
      </c>
      <c r="C87" s="46">
        <f>Employee_Data!E87</f>
        <v>57219</v>
      </c>
      <c r="D87" s="46">
        <f>Employee_Data!F87</f>
        <v>15821</v>
      </c>
      <c r="E87" s="46">
        <f>Employee_Data!G87</f>
        <v>3359</v>
      </c>
      <c r="F87" s="46">
        <f>Employee_Data!H87</f>
        <v>3346</v>
      </c>
      <c r="G87" s="46">
        <f>Employee_Data!I87</f>
        <v>4692</v>
      </c>
      <c r="H87" s="46">
        <f t="shared" si="6"/>
        <v>84437</v>
      </c>
      <c r="I87" s="46">
        <f>Employee_Data!J87</f>
        <v>6866</v>
      </c>
      <c r="J87" s="46">
        <f>Employee_Data!K87</f>
        <v>2395</v>
      </c>
      <c r="K87" s="46">
        <f t="shared" si="7"/>
        <v>75176</v>
      </c>
      <c r="L87" s="46">
        <f>Employee_Data!L87</f>
        <v>6866</v>
      </c>
      <c r="M87" s="46">
        <f t="shared" si="8"/>
        <v>91303</v>
      </c>
    </row>
    <row r="88" spans="1:13" ht="18" customHeight="1" x14ac:dyDescent="0.3">
      <c r="A88" s="45" t="str">
        <f>Employee_Data!A88</f>
        <v>EMP1087</v>
      </c>
      <c r="B88" s="45" t="str">
        <f>Employee_Data!B88</f>
        <v>Operations</v>
      </c>
      <c r="C88" s="46">
        <f>Employee_Data!E88</f>
        <v>106159</v>
      </c>
      <c r="D88" s="46">
        <f>Employee_Data!F88</f>
        <v>25207</v>
      </c>
      <c r="E88" s="46">
        <f>Employee_Data!G88</f>
        <v>11564</v>
      </c>
      <c r="F88" s="46">
        <f>Employee_Data!H88</f>
        <v>1187</v>
      </c>
      <c r="G88" s="46">
        <f>Employee_Data!I88</f>
        <v>3976</v>
      </c>
      <c r="H88" s="46">
        <f t="shared" si="6"/>
        <v>148093</v>
      </c>
      <c r="I88" s="46">
        <f>Employee_Data!J88</f>
        <v>12739</v>
      </c>
      <c r="J88" s="46">
        <f>Employee_Data!K88</f>
        <v>4345</v>
      </c>
      <c r="K88" s="46">
        <f t="shared" si="7"/>
        <v>131009</v>
      </c>
      <c r="L88" s="46">
        <f>Employee_Data!L88</f>
        <v>12739</v>
      </c>
      <c r="M88" s="46">
        <f t="shared" si="8"/>
        <v>160832</v>
      </c>
    </row>
    <row r="89" spans="1:13" ht="18" customHeight="1" x14ac:dyDescent="0.3">
      <c r="A89" s="45" t="str">
        <f>Employee_Data!A89</f>
        <v>EMP1088</v>
      </c>
      <c r="B89" s="45" t="str">
        <f>Employee_Data!B89</f>
        <v>Sales</v>
      </c>
      <c r="C89" s="46">
        <f>Employee_Data!E89</f>
        <v>43524</v>
      </c>
      <c r="D89" s="46">
        <f>Employee_Data!F89</f>
        <v>11380</v>
      </c>
      <c r="E89" s="46">
        <f>Employee_Data!G89</f>
        <v>4203</v>
      </c>
      <c r="F89" s="46">
        <f>Employee_Data!H89</f>
        <v>1821</v>
      </c>
      <c r="G89" s="46">
        <f>Employee_Data!I89</f>
        <v>1794</v>
      </c>
      <c r="H89" s="46">
        <f t="shared" si="6"/>
        <v>62722</v>
      </c>
      <c r="I89" s="46">
        <f>Employee_Data!J89</f>
        <v>5223</v>
      </c>
      <c r="J89" s="46">
        <f>Employee_Data!K89</f>
        <v>4176</v>
      </c>
      <c r="K89" s="46">
        <f t="shared" si="7"/>
        <v>53323</v>
      </c>
      <c r="L89" s="46">
        <f>Employee_Data!L89</f>
        <v>5223</v>
      </c>
      <c r="M89" s="46">
        <f t="shared" si="8"/>
        <v>67945</v>
      </c>
    </row>
    <row r="90" spans="1:13" ht="18" customHeight="1" x14ac:dyDescent="0.3">
      <c r="A90" s="45" t="str">
        <f>Employee_Data!A90</f>
        <v>EMP1089</v>
      </c>
      <c r="B90" s="45" t="str">
        <f>Employee_Data!B90</f>
        <v>Technology</v>
      </c>
      <c r="C90" s="46">
        <f>Employee_Data!E90</f>
        <v>54510</v>
      </c>
      <c r="D90" s="46">
        <f>Employee_Data!F90</f>
        <v>13703</v>
      </c>
      <c r="E90" s="46">
        <f>Employee_Data!G90</f>
        <v>6158</v>
      </c>
      <c r="F90" s="46">
        <f>Employee_Data!H90</f>
        <v>2722</v>
      </c>
      <c r="G90" s="46">
        <f>Employee_Data!I90</f>
        <v>2699</v>
      </c>
      <c r="H90" s="46">
        <f t="shared" si="6"/>
        <v>79792</v>
      </c>
      <c r="I90" s="46">
        <f>Employee_Data!J90</f>
        <v>6541</v>
      </c>
      <c r="J90" s="46">
        <f>Employee_Data!K90</f>
        <v>3393</v>
      </c>
      <c r="K90" s="46">
        <f t="shared" si="7"/>
        <v>69858</v>
      </c>
      <c r="L90" s="46">
        <f>Employee_Data!L90</f>
        <v>6541</v>
      </c>
      <c r="M90" s="46">
        <f t="shared" si="8"/>
        <v>86333</v>
      </c>
    </row>
    <row r="91" spans="1:13" ht="18" customHeight="1" x14ac:dyDescent="0.3">
      <c r="A91" s="45" t="str">
        <f>Employee_Data!A91</f>
        <v>EMP1090</v>
      </c>
      <c r="B91" s="45" t="str">
        <f>Employee_Data!B91</f>
        <v>Sales</v>
      </c>
      <c r="C91" s="46">
        <f>Employee_Data!E91</f>
        <v>29248</v>
      </c>
      <c r="D91" s="46">
        <f>Employee_Data!F91</f>
        <v>6410</v>
      </c>
      <c r="E91" s="46">
        <f>Employee_Data!G91</f>
        <v>2551</v>
      </c>
      <c r="F91" s="46">
        <f>Employee_Data!H91</f>
        <v>156</v>
      </c>
      <c r="G91" s="46">
        <f>Employee_Data!I91</f>
        <v>1145</v>
      </c>
      <c r="H91" s="46">
        <f t="shared" si="6"/>
        <v>39510</v>
      </c>
      <c r="I91" s="46">
        <f>Employee_Data!J91</f>
        <v>3510</v>
      </c>
      <c r="J91" s="46">
        <f>Employee_Data!K91</f>
        <v>1893</v>
      </c>
      <c r="K91" s="46">
        <f t="shared" si="7"/>
        <v>34107</v>
      </c>
      <c r="L91" s="46">
        <f>Employee_Data!L91</f>
        <v>3510</v>
      </c>
      <c r="M91" s="46">
        <f t="shared" si="8"/>
        <v>43020</v>
      </c>
    </row>
    <row r="92" spans="1:13" ht="18" customHeight="1" x14ac:dyDescent="0.3">
      <c r="A92" s="45" t="str">
        <f>Employee_Data!A92</f>
        <v>EMP1091</v>
      </c>
      <c r="B92" s="45" t="str">
        <f>Employee_Data!B92</f>
        <v>Marketing</v>
      </c>
      <c r="C92" s="46">
        <f>Employee_Data!E92</f>
        <v>101110</v>
      </c>
      <c r="D92" s="46">
        <f>Employee_Data!F92</f>
        <v>25586</v>
      </c>
      <c r="E92" s="46">
        <f>Employee_Data!G92</f>
        <v>9965</v>
      </c>
      <c r="F92" s="46">
        <f>Employee_Data!H92</f>
        <v>1349</v>
      </c>
      <c r="G92" s="46">
        <f>Employee_Data!I92</f>
        <v>4393</v>
      </c>
      <c r="H92" s="46">
        <f t="shared" si="6"/>
        <v>142403</v>
      </c>
      <c r="I92" s="46">
        <f>Employee_Data!J92</f>
        <v>12133</v>
      </c>
      <c r="J92" s="46">
        <f>Employee_Data!K92</f>
        <v>6478</v>
      </c>
      <c r="K92" s="46">
        <f t="shared" si="7"/>
        <v>123792</v>
      </c>
      <c r="L92" s="46">
        <f>Employee_Data!L92</f>
        <v>12133</v>
      </c>
      <c r="M92" s="46">
        <f t="shared" si="8"/>
        <v>154536</v>
      </c>
    </row>
    <row r="93" spans="1:13" ht="18" customHeight="1" x14ac:dyDescent="0.3">
      <c r="A93" s="45" t="str">
        <f>Employee_Data!A93</f>
        <v>EMP1092</v>
      </c>
      <c r="B93" s="45" t="str">
        <f>Employee_Data!B93</f>
        <v>Operations</v>
      </c>
      <c r="C93" s="46">
        <f>Employee_Data!E93</f>
        <v>78187</v>
      </c>
      <c r="D93" s="46">
        <f>Employee_Data!F93</f>
        <v>21874</v>
      </c>
      <c r="E93" s="46">
        <f>Employee_Data!G93</f>
        <v>8027</v>
      </c>
      <c r="F93" s="46">
        <f>Employee_Data!H93</f>
        <v>4422</v>
      </c>
      <c r="G93" s="46">
        <f>Employee_Data!I93</f>
        <v>3893</v>
      </c>
      <c r="H93" s="46">
        <f t="shared" si="6"/>
        <v>116403</v>
      </c>
      <c r="I93" s="46">
        <f>Employee_Data!J93</f>
        <v>9382</v>
      </c>
      <c r="J93" s="46">
        <f>Employee_Data!K93</f>
        <v>3059</v>
      </c>
      <c r="K93" s="46">
        <f t="shared" si="7"/>
        <v>103962</v>
      </c>
      <c r="L93" s="46">
        <f>Employee_Data!L93</f>
        <v>9382</v>
      </c>
      <c r="M93" s="46">
        <f t="shared" si="8"/>
        <v>125785</v>
      </c>
    </row>
    <row r="94" spans="1:13" ht="18" customHeight="1" x14ac:dyDescent="0.3">
      <c r="A94" s="45" t="str">
        <f>Employee_Data!A94</f>
        <v>EMP1093</v>
      </c>
      <c r="B94" s="45" t="str">
        <f>Employee_Data!B94</f>
        <v>Operations</v>
      </c>
      <c r="C94" s="46">
        <f>Employee_Data!E94</f>
        <v>68710</v>
      </c>
      <c r="D94" s="46">
        <f>Employee_Data!F94</f>
        <v>14971</v>
      </c>
      <c r="E94" s="46">
        <f>Employee_Data!G94</f>
        <v>5634</v>
      </c>
      <c r="F94" s="46">
        <f>Employee_Data!H94</f>
        <v>3320</v>
      </c>
      <c r="G94" s="46">
        <f>Employee_Data!I94</f>
        <v>2511</v>
      </c>
      <c r="H94" s="46">
        <f t="shared" si="6"/>
        <v>95146</v>
      </c>
      <c r="I94" s="46">
        <f>Employee_Data!J94</f>
        <v>8245</v>
      </c>
      <c r="J94" s="46">
        <f>Employee_Data!K94</f>
        <v>4553</v>
      </c>
      <c r="K94" s="46">
        <f t="shared" si="7"/>
        <v>82348</v>
      </c>
      <c r="L94" s="46">
        <f>Employee_Data!L94</f>
        <v>8245</v>
      </c>
      <c r="M94" s="46">
        <f t="shared" si="8"/>
        <v>103391</v>
      </c>
    </row>
    <row r="95" spans="1:13" ht="18" customHeight="1" x14ac:dyDescent="0.3">
      <c r="A95" s="45" t="str">
        <f>Employee_Data!A95</f>
        <v>EMP1094</v>
      </c>
      <c r="B95" s="45" t="str">
        <f>Employee_Data!B95</f>
        <v>Sales</v>
      </c>
      <c r="C95" s="46">
        <f>Employee_Data!E95</f>
        <v>30891</v>
      </c>
      <c r="D95" s="46">
        <f>Employee_Data!F95</f>
        <v>7945</v>
      </c>
      <c r="E95" s="46">
        <f>Employee_Data!G95</f>
        <v>1571</v>
      </c>
      <c r="F95" s="46">
        <f>Employee_Data!H95</f>
        <v>1479</v>
      </c>
      <c r="G95" s="46">
        <f>Employee_Data!I95</f>
        <v>2828</v>
      </c>
      <c r="H95" s="46">
        <f t="shared" si="6"/>
        <v>44714</v>
      </c>
      <c r="I95" s="46">
        <f>Employee_Data!J95</f>
        <v>3707</v>
      </c>
      <c r="J95" s="46">
        <f>Employee_Data!K95</f>
        <v>2582</v>
      </c>
      <c r="K95" s="46">
        <f t="shared" si="7"/>
        <v>38425</v>
      </c>
      <c r="L95" s="46">
        <f>Employee_Data!L95</f>
        <v>3707</v>
      </c>
      <c r="M95" s="46">
        <f t="shared" si="8"/>
        <v>48421</v>
      </c>
    </row>
    <row r="96" spans="1:13" ht="18" customHeight="1" x14ac:dyDescent="0.3">
      <c r="A96" s="45" t="str">
        <f>Employee_Data!A96</f>
        <v>EMP1095</v>
      </c>
      <c r="B96" s="45" t="str">
        <f>Employee_Data!B96</f>
        <v>Operations</v>
      </c>
      <c r="C96" s="46">
        <f>Employee_Data!E96</f>
        <v>40298</v>
      </c>
      <c r="D96" s="46">
        <f>Employee_Data!F96</f>
        <v>11119</v>
      </c>
      <c r="E96" s="46">
        <f>Employee_Data!G96</f>
        <v>2981</v>
      </c>
      <c r="F96" s="46">
        <f>Employee_Data!H96</f>
        <v>733</v>
      </c>
      <c r="G96" s="46">
        <f>Employee_Data!I96</f>
        <v>2118</v>
      </c>
      <c r="H96" s="46">
        <f t="shared" si="6"/>
        <v>57249</v>
      </c>
      <c r="I96" s="46">
        <f>Employee_Data!J96</f>
        <v>4836</v>
      </c>
      <c r="J96" s="46">
        <f>Employee_Data!K96</f>
        <v>1954</v>
      </c>
      <c r="K96" s="46">
        <f t="shared" si="7"/>
        <v>50459</v>
      </c>
      <c r="L96" s="46">
        <f>Employee_Data!L96</f>
        <v>4836</v>
      </c>
      <c r="M96" s="46">
        <f t="shared" si="8"/>
        <v>62085</v>
      </c>
    </row>
    <row r="97" spans="1:13" ht="18" customHeight="1" x14ac:dyDescent="0.3">
      <c r="A97" s="45" t="str">
        <f>Employee_Data!A97</f>
        <v>EMP1096</v>
      </c>
      <c r="B97" s="45" t="str">
        <f>Employee_Data!B97</f>
        <v>Sales</v>
      </c>
      <c r="C97" s="46">
        <f>Employee_Data!E97</f>
        <v>38380</v>
      </c>
      <c r="D97" s="46">
        <f>Employee_Data!F97</f>
        <v>7442</v>
      </c>
      <c r="E97" s="46">
        <f>Employee_Data!G97</f>
        <v>2190</v>
      </c>
      <c r="F97" s="46">
        <f>Employee_Data!H97</f>
        <v>786</v>
      </c>
      <c r="G97" s="46">
        <f>Employee_Data!I97</f>
        <v>3630</v>
      </c>
      <c r="H97" s="46">
        <f t="shared" si="6"/>
        <v>52428</v>
      </c>
      <c r="I97" s="46">
        <f>Employee_Data!J97</f>
        <v>4606</v>
      </c>
      <c r="J97" s="46">
        <f>Employee_Data!K97</f>
        <v>2658</v>
      </c>
      <c r="K97" s="46">
        <f t="shared" si="7"/>
        <v>45164</v>
      </c>
      <c r="L97" s="46">
        <f>Employee_Data!L97</f>
        <v>4606</v>
      </c>
      <c r="M97" s="46">
        <f t="shared" si="8"/>
        <v>57034</v>
      </c>
    </row>
    <row r="98" spans="1:13" ht="18" customHeight="1" x14ac:dyDescent="0.3">
      <c r="A98" s="45" t="str">
        <f>Employee_Data!A98</f>
        <v>EMP1097</v>
      </c>
      <c r="B98" s="45" t="str">
        <f>Employee_Data!B98</f>
        <v>Sales</v>
      </c>
      <c r="C98" s="46">
        <f>Employee_Data!E98</f>
        <v>108727</v>
      </c>
      <c r="D98" s="46">
        <f>Employee_Data!F98</f>
        <v>26653</v>
      </c>
      <c r="E98" s="46">
        <f>Employee_Data!G98</f>
        <v>11306</v>
      </c>
      <c r="F98" s="46">
        <f>Employee_Data!H98</f>
        <v>3257</v>
      </c>
      <c r="G98" s="46">
        <f>Employee_Data!I98</f>
        <v>345</v>
      </c>
      <c r="H98" s="46">
        <f t="shared" ref="H98:H101" si="9">SUM(C98:G98)</f>
        <v>150288</v>
      </c>
      <c r="I98" s="46">
        <f>Employee_Data!J98</f>
        <v>13047</v>
      </c>
      <c r="J98" s="46">
        <f>Employee_Data!K98</f>
        <v>3382</v>
      </c>
      <c r="K98" s="46">
        <f t="shared" ref="K98:K101" si="10">H98-I98-J98</f>
        <v>133859</v>
      </c>
      <c r="L98" s="46">
        <f>Employee_Data!L98</f>
        <v>13047</v>
      </c>
      <c r="M98" s="46">
        <f t="shared" ref="M98:M101" si="11">H98+L98</f>
        <v>163335</v>
      </c>
    </row>
    <row r="99" spans="1:13" ht="18" customHeight="1" x14ac:dyDescent="0.3">
      <c r="A99" s="45" t="str">
        <f>Employee_Data!A99</f>
        <v>EMP1098</v>
      </c>
      <c r="B99" s="45" t="str">
        <f>Employee_Data!B99</f>
        <v>Sales</v>
      </c>
      <c r="C99" s="46">
        <f>Employee_Data!E99</f>
        <v>73797</v>
      </c>
      <c r="D99" s="46">
        <f>Employee_Data!F99</f>
        <v>20004</v>
      </c>
      <c r="E99" s="46">
        <f>Employee_Data!G99</f>
        <v>4324</v>
      </c>
      <c r="F99" s="46">
        <f>Employee_Data!H99</f>
        <v>1393</v>
      </c>
      <c r="G99" s="46">
        <f>Employee_Data!I99</f>
        <v>828</v>
      </c>
      <c r="H99" s="46">
        <f t="shared" si="9"/>
        <v>100346</v>
      </c>
      <c r="I99" s="46">
        <f>Employee_Data!J99</f>
        <v>8856</v>
      </c>
      <c r="J99" s="46">
        <f>Employee_Data!K99</f>
        <v>2853</v>
      </c>
      <c r="K99" s="46">
        <f t="shared" si="10"/>
        <v>88637</v>
      </c>
      <c r="L99" s="46">
        <f>Employee_Data!L99</f>
        <v>8856</v>
      </c>
      <c r="M99" s="46">
        <f t="shared" si="11"/>
        <v>109202</v>
      </c>
    </row>
    <row r="100" spans="1:13" ht="18" customHeight="1" x14ac:dyDescent="0.3">
      <c r="A100" s="45" t="str">
        <f>Employee_Data!A100</f>
        <v>EMP1099</v>
      </c>
      <c r="B100" s="45" t="str">
        <f>Employee_Data!B100</f>
        <v>Marketing</v>
      </c>
      <c r="C100" s="46">
        <f>Employee_Data!E100</f>
        <v>104622</v>
      </c>
      <c r="D100" s="46">
        <f>Employee_Data!F100</f>
        <v>22090</v>
      </c>
      <c r="E100" s="46">
        <f>Employee_Data!G100</f>
        <v>6896</v>
      </c>
      <c r="F100" s="46">
        <f>Employee_Data!H100</f>
        <v>5088</v>
      </c>
      <c r="G100" s="46">
        <f>Employee_Data!I100</f>
        <v>1897</v>
      </c>
      <c r="H100" s="46">
        <f t="shared" si="9"/>
        <v>140593</v>
      </c>
      <c r="I100" s="46">
        <f>Employee_Data!J100</f>
        <v>12555</v>
      </c>
      <c r="J100" s="46">
        <f>Employee_Data!K100</f>
        <v>8278</v>
      </c>
      <c r="K100" s="46">
        <f t="shared" si="10"/>
        <v>119760</v>
      </c>
      <c r="L100" s="46">
        <f>Employee_Data!L100</f>
        <v>12555</v>
      </c>
      <c r="M100" s="46">
        <f t="shared" si="11"/>
        <v>153148</v>
      </c>
    </row>
    <row r="101" spans="1:13" ht="18" customHeight="1" x14ac:dyDescent="0.3">
      <c r="A101" s="45" t="str">
        <f>Employee_Data!A101</f>
        <v>EMP1100</v>
      </c>
      <c r="B101" s="45" t="str">
        <f>Employee_Data!B101</f>
        <v>Marketing</v>
      </c>
      <c r="C101" s="46">
        <f>Employee_Data!E101</f>
        <v>77409</v>
      </c>
      <c r="D101" s="46">
        <f>Employee_Data!F101</f>
        <v>16515</v>
      </c>
      <c r="E101" s="46">
        <f>Employee_Data!G101</f>
        <v>6028</v>
      </c>
      <c r="F101" s="46">
        <f>Employee_Data!H101</f>
        <v>3328</v>
      </c>
      <c r="G101" s="46">
        <f>Employee_Data!I101</f>
        <v>4599</v>
      </c>
      <c r="H101" s="46">
        <f t="shared" si="9"/>
        <v>107879</v>
      </c>
      <c r="I101" s="46">
        <f>Employee_Data!J101</f>
        <v>9289</v>
      </c>
      <c r="J101" s="46">
        <f>Employee_Data!K101</f>
        <v>4021</v>
      </c>
      <c r="K101" s="46">
        <f t="shared" si="10"/>
        <v>94569</v>
      </c>
      <c r="L101" s="46">
        <f>Employee_Data!L101</f>
        <v>9289</v>
      </c>
      <c r="M101" s="46">
        <f t="shared" si="11"/>
        <v>117168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9"/>
  <sheetViews>
    <sheetView showGridLines="0" workbookViewId="0">
      <selection activeCell="L12" sqref="L12"/>
    </sheetView>
  </sheetViews>
  <sheetFormatPr defaultRowHeight="14.4" x14ac:dyDescent="0.3"/>
  <cols>
    <col min="1" max="1" width="11.109375" bestFit="1" customWidth="1"/>
    <col min="2" max="9" width="15.77734375" customWidth="1"/>
  </cols>
  <sheetData>
    <row r="2" spans="2:9" ht="18" customHeight="1" x14ac:dyDescent="0.3">
      <c r="B2" s="35" t="s">
        <v>12</v>
      </c>
      <c r="C2" s="35" t="s">
        <v>152</v>
      </c>
      <c r="D2" s="35" t="s">
        <v>23</v>
      </c>
      <c r="E2" s="35" t="s">
        <v>19</v>
      </c>
      <c r="F2" s="35" t="s">
        <v>153</v>
      </c>
      <c r="G2" s="35" t="s">
        <v>25</v>
      </c>
      <c r="H2" s="35" t="s">
        <v>154</v>
      </c>
      <c r="I2" s="35" t="s">
        <v>155</v>
      </c>
    </row>
    <row r="3" spans="2:9" ht="18" customHeight="1" x14ac:dyDescent="0.3">
      <c r="B3" s="29" t="s">
        <v>41</v>
      </c>
      <c r="C3" s="29">
        <f>COUNTIF(Payroll_Calculation!$B$2:$B$101,B3)</f>
        <v>28</v>
      </c>
      <c r="D3" s="30">
        <f>SUMIF(Payroll_Calculation!$B$2:$B$101,B3,Payroll_Calculation!$H$2:$H$101)</f>
        <v>2276661</v>
      </c>
      <c r="E3" s="30">
        <f>SUMIF(Payroll_Calculation!$B$2:$B$101,B3,Payroll_Calculation!$G$2:$G$101)</f>
        <v>64060</v>
      </c>
      <c r="F3" s="30">
        <f>SUMIF(Payroll_Calculation!$B$2:$B$101,B3,Payroll_Calculation!$F$2:$F$101)</f>
        <v>55335</v>
      </c>
      <c r="G3" s="30">
        <f>SUMIF(Payroll_Calculation!$B$2:$B$101,B3,Payroll_Calculation!$M$2:$M$101)</f>
        <v>2474260</v>
      </c>
      <c r="H3" s="30">
        <f t="shared" ref="H3:H9" si="0">G3/C3</f>
        <v>88366.428571428565</v>
      </c>
      <c r="I3" s="31">
        <f t="shared" ref="I3:I8" si="1">G3/$G$9</f>
        <v>0.28536433182285281</v>
      </c>
    </row>
    <row r="4" spans="2:9" ht="18" customHeight="1" x14ac:dyDescent="0.3">
      <c r="B4" s="29" t="s">
        <v>56</v>
      </c>
      <c r="C4" s="29">
        <f>COUNTIF(Payroll_Calculation!$B$2:$B$101,B4)</f>
        <v>10</v>
      </c>
      <c r="D4" s="30">
        <f>SUMIF(Payroll_Calculation!$B$2:$B$101,B4,Payroll_Calculation!$H$2:$H$101)</f>
        <v>834381</v>
      </c>
      <c r="E4" s="30">
        <f>SUMIF(Payroll_Calculation!$B$2:$B$101,B4,Payroll_Calculation!$G$2:$G$101)</f>
        <v>29969</v>
      </c>
      <c r="F4" s="30">
        <f>SUMIF(Payroll_Calculation!$B$2:$B$101,B4,Payroll_Calculation!$F$2:$F$101)</f>
        <v>26603</v>
      </c>
      <c r="G4" s="30">
        <f>SUMIF(Payroll_Calculation!$B$2:$B$101,B4,Payroll_Calculation!$M$2:$M$101)</f>
        <v>905982</v>
      </c>
      <c r="H4" s="30">
        <f t="shared" si="0"/>
        <v>90598.2</v>
      </c>
      <c r="I4" s="31">
        <f t="shared" si="1"/>
        <v>0.10448980627481827</v>
      </c>
    </row>
    <row r="5" spans="2:9" ht="18" customHeight="1" x14ac:dyDescent="0.3">
      <c r="B5" s="29" t="s">
        <v>27</v>
      </c>
      <c r="C5" s="29">
        <f>COUNTIF(Payroll_Calculation!$B$2:$B$101,B5)</f>
        <v>8</v>
      </c>
      <c r="D5" s="30">
        <f>SUMIF(Payroll_Calculation!$B$2:$B$101,B5,Payroll_Calculation!$H$2:$H$101)</f>
        <v>574730</v>
      </c>
      <c r="E5" s="30">
        <f>SUMIF(Payroll_Calculation!$B$2:$B$101,B5,Payroll_Calculation!$G$2:$G$101)</f>
        <v>21312</v>
      </c>
      <c r="F5" s="30">
        <f>SUMIF(Payroll_Calculation!$B$2:$B$101,B5,Payroll_Calculation!$F$2:$F$101)</f>
        <v>17265</v>
      </c>
      <c r="G5" s="30">
        <f>SUMIF(Payroll_Calculation!$B$2:$B$101,B5,Payroll_Calculation!$M$2:$M$101)</f>
        <v>623999</v>
      </c>
      <c r="H5" s="30">
        <f t="shared" si="0"/>
        <v>77999.875</v>
      </c>
      <c r="I5" s="31">
        <f t="shared" si="1"/>
        <v>7.1967803582941303E-2</v>
      </c>
    </row>
    <row r="6" spans="2:9" ht="18" customHeight="1" x14ac:dyDescent="0.3">
      <c r="B6" s="29" t="s">
        <v>38</v>
      </c>
      <c r="C6" s="29">
        <f>COUNTIF(Payroll_Calculation!$B$2:$B$101,B6)</f>
        <v>22</v>
      </c>
      <c r="D6" s="30">
        <f>SUMIF(Payroll_Calculation!$B$2:$B$101,B6,Payroll_Calculation!$H$2:$H$101)</f>
        <v>1548233</v>
      </c>
      <c r="E6" s="30">
        <f>SUMIF(Payroll_Calculation!$B$2:$B$101,B6,Payroll_Calculation!$G$2:$G$101)</f>
        <v>55248</v>
      </c>
      <c r="F6" s="30">
        <f>SUMIF(Payroll_Calculation!$B$2:$B$101,B6,Payroll_Calculation!$F$2:$F$101)</f>
        <v>43164</v>
      </c>
      <c r="G6" s="30">
        <f>SUMIF(Payroll_Calculation!$B$2:$B$101,B6,Payroll_Calculation!$M$2:$M$101)</f>
        <v>1679905</v>
      </c>
      <c r="H6" s="30">
        <f t="shared" si="0"/>
        <v>76359.318181818177</v>
      </c>
      <c r="I6" s="31">
        <f t="shared" si="1"/>
        <v>0.19374882504299046</v>
      </c>
    </row>
    <row r="7" spans="2:9" ht="18" customHeight="1" x14ac:dyDescent="0.3">
      <c r="B7" s="29" t="s">
        <v>35</v>
      </c>
      <c r="C7" s="29">
        <f>COUNTIF(Payroll_Calculation!$B$2:$B$101,B7)</f>
        <v>19</v>
      </c>
      <c r="D7" s="30">
        <f>SUMIF(Payroll_Calculation!$B$2:$B$101,B7,Payroll_Calculation!$H$2:$H$101)</f>
        <v>1564593</v>
      </c>
      <c r="E7" s="30">
        <f>SUMIF(Payroll_Calculation!$B$2:$B$101,B7,Payroll_Calculation!$G$2:$G$101)</f>
        <v>50640</v>
      </c>
      <c r="F7" s="30">
        <f>SUMIF(Payroll_Calculation!$B$2:$B$101,B7,Payroll_Calculation!$F$2:$F$101)</f>
        <v>37393</v>
      </c>
      <c r="G7" s="30">
        <f>SUMIF(Payroll_Calculation!$B$2:$B$101,B7,Payroll_Calculation!$M$2:$M$101)</f>
        <v>1698773</v>
      </c>
      <c r="H7" s="30">
        <f t="shared" si="0"/>
        <v>89409.105263157893</v>
      </c>
      <c r="I7" s="31">
        <f t="shared" si="1"/>
        <v>0.19592493192457669</v>
      </c>
    </row>
    <row r="8" spans="2:9" ht="18" customHeight="1" x14ac:dyDescent="0.3">
      <c r="B8" s="29" t="s">
        <v>31</v>
      </c>
      <c r="C8" s="29">
        <f>COUNTIF(Payroll_Calculation!$B$2:$B$101,B8)</f>
        <v>13</v>
      </c>
      <c r="D8" s="30">
        <f>SUMIF(Payroll_Calculation!$B$2:$B$101,B8,Payroll_Calculation!$H$2:$H$101)</f>
        <v>1187004</v>
      </c>
      <c r="E8" s="30">
        <f>SUMIF(Payroll_Calculation!$B$2:$B$101,B8,Payroll_Calculation!$G$2:$G$101)</f>
        <v>36439</v>
      </c>
      <c r="F8" s="30">
        <f>SUMIF(Payroll_Calculation!$B$2:$B$101,B8,Payroll_Calculation!$F$2:$F$101)</f>
        <v>29992</v>
      </c>
      <c r="G8" s="30">
        <f>SUMIF(Payroll_Calculation!$B$2:$B$101,B8,Payroll_Calculation!$M$2:$M$101)</f>
        <v>1287611</v>
      </c>
      <c r="H8" s="30">
        <f t="shared" si="0"/>
        <v>99047</v>
      </c>
      <c r="I8" s="31">
        <f t="shared" si="1"/>
        <v>0.14850430135182047</v>
      </c>
    </row>
    <row r="9" spans="2:9" ht="18" customHeight="1" x14ac:dyDescent="0.3">
      <c r="B9" s="32" t="s">
        <v>156</v>
      </c>
      <c r="C9" s="32">
        <f>SUM(C3:C8)</f>
        <v>100</v>
      </c>
      <c r="D9" s="33">
        <f>SUM(D3:D8)</f>
        <v>7985602</v>
      </c>
      <c r="E9" s="33">
        <f>SUM(E3:E8)</f>
        <v>257668</v>
      </c>
      <c r="F9" s="33">
        <f>SUM(F3:F8)</f>
        <v>209752</v>
      </c>
      <c r="G9" s="33">
        <f>SUM(G3:G8)</f>
        <v>8670530</v>
      </c>
      <c r="H9" s="33">
        <f t="shared" si="0"/>
        <v>86705.3</v>
      </c>
      <c r="I9" s="34">
        <f>SUM(I3:I8)</f>
        <v>1</v>
      </c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9"/>
  <sheetViews>
    <sheetView showGridLines="0" workbookViewId="0">
      <selection activeCell="J5" sqref="J5"/>
    </sheetView>
  </sheetViews>
  <sheetFormatPr defaultRowHeight="14.4" x14ac:dyDescent="0.3"/>
  <cols>
    <col min="1" max="1" width="15.77734375" customWidth="1"/>
    <col min="2" max="6" width="20.77734375" customWidth="1"/>
    <col min="7" max="7" width="25.88671875" customWidth="1"/>
  </cols>
  <sheetData>
    <row r="2" spans="2:10" ht="31.2" x14ac:dyDescent="0.3">
      <c r="B2" s="39" t="s">
        <v>12</v>
      </c>
      <c r="C2" s="39" t="s">
        <v>157</v>
      </c>
      <c r="D2" s="39" t="s">
        <v>158</v>
      </c>
      <c r="E2" s="39" t="s">
        <v>159</v>
      </c>
      <c r="F2" s="39" t="s">
        <v>160</v>
      </c>
      <c r="G2" s="39" t="s">
        <v>161</v>
      </c>
    </row>
    <row r="3" spans="2:10" ht="19.95" customHeight="1" x14ac:dyDescent="0.3">
      <c r="B3" s="36" t="s">
        <v>41</v>
      </c>
      <c r="C3" s="37">
        <v>2470500</v>
      </c>
      <c r="D3" s="37">
        <v>2474260</v>
      </c>
      <c r="E3" s="37">
        <v>3760</v>
      </c>
      <c r="F3" s="38">
        <v>2E-3</v>
      </c>
      <c r="G3" s="36" t="s">
        <v>197</v>
      </c>
    </row>
    <row r="4" spans="2:10" ht="19.95" customHeight="1" x14ac:dyDescent="0.3">
      <c r="B4" s="36" t="s">
        <v>56</v>
      </c>
      <c r="C4" s="37">
        <v>936300</v>
      </c>
      <c r="D4" s="37">
        <v>905982</v>
      </c>
      <c r="E4" s="37">
        <v>-30318</v>
      </c>
      <c r="F4" s="38">
        <v>-3.2000000000000001E-2</v>
      </c>
      <c r="G4" s="36" t="s">
        <v>198</v>
      </c>
    </row>
    <row r="5" spans="2:10" ht="19.95" customHeight="1" x14ac:dyDescent="0.3">
      <c r="B5" s="36" t="s">
        <v>27</v>
      </c>
      <c r="C5" s="37">
        <v>628300</v>
      </c>
      <c r="D5" s="37">
        <v>623999</v>
      </c>
      <c r="E5" s="37">
        <v>-4301</v>
      </c>
      <c r="F5" s="38">
        <v>-7.0000000000000001E-3</v>
      </c>
      <c r="G5" s="36" t="s">
        <v>198</v>
      </c>
    </row>
    <row r="6" spans="2:10" ht="19.95" customHeight="1" x14ac:dyDescent="0.3">
      <c r="B6" s="36" t="s">
        <v>38</v>
      </c>
      <c r="C6" s="37">
        <v>1617100</v>
      </c>
      <c r="D6" s="37">
        <v>1679905</v>
      </c>
      <c r="E6" s="37">
        <v>62805</v>
      </c>
      <c r="F6" s="38">
        <v>3.9E-2</v>
      </c>
      <c r="G6" s="36" t="s">
        <v>197</v>
      </c>
    </row>
    <row r="7" spans="2:10" ht="19.95" customHeight="1" x14ac:dyDescent="0.3">
      <c r="B7" s="36" t="s">
        <v>35</v>
      </c>
      <c r="C7" s="37">
        <v>1754900</v>
      </c>
      <c r="D7" s="37">
        <v>1698773</v>
      </c>
      <c r="E7" s="37">
        <v>-56127</v>
      </c>
      <c r="F7" s="38">
        <v>-3.2000000000000001E-2</v>
      </c>
      <c r="G7" s="36" t="s">
        <v>198</v>
      </c>
      <c r="J7" t="s">
        <v>194</v>
      </c>
    </row>
    <row r="8" spans="2:10" ht="19.95" customHeight="1" x14ac:dyDescent="0.3">
      <c r="B8" s="36" t="s">
        <v>31</v>
      </c>
      <c r="C8" s="37">
        <v>1261700</v>
      </c>
      <c r="D8" s="37">
        <v>1287611</v>
      </c>
      <c r="E8" s="37">
        <v>25911</v>
      </c>
      <c r="F8" s="38">
        <v>2.1000000000000001E-2</v>
      </c>
      <c r="G8" s="36" t="s">
        <v>197</v>
      </c>
    </row>
    <row r="9" spans="2:10" ht="19.95" customHeight="1" x14ac:dyDescent="0.3">
      <c r="B9" s="36" t="s">
        <v>156</v>
      </c>
      <c r="C9" s="37">
        <v>8668800</v>
      </c>
      <c r="D9" s="37">
        <v>8670530</v>
      </c>
      <c r="E9" s="37">
        <v>1730</v>
      </c>
      <c r="F9" s="38">
        <v>0</v>
      </c>
      <c r="G9" s="36" t="s">
        <v>199</v>
      </c>
    </row>
  </sheetData>
  <pageMargins left="0.75" right="0.75" top="1" bottom="1" header="0.5" footer="0.5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6"/>
  <sheetViews>
    <sheetView showGridLines="0" workbookViewId="0">
      <selection activeCell="F14" sqref="F14"/>
    </sheetView>
  </sheetViews>
  <sheetFormatPr defaultRowHeight="14.4" x14ac:dyDescent="0.3"/>
  <cols>
    <col min="1" max="1" width="15.77734375" customWidth="1"/>
    <col min="2" max="7" width="20.77734375" customWidth="1"/>
  </cols>
  <sheetData>
    <row r="2" spans="2:7" ht="28.8" x14ac:dyDescent="0.3">
      <c r="B2" s="42" t="s">
        <v>162</v>
      </c>
      <c r="C2" s="42" t="s">
        <v>163</v>
      </c>
      <c r="D2" s="42" t="s">
        <v>164</v>
      </c>
      <c r="E2" s="42" t="s">
        <v>165</v>
      </c>
      <c r="F2" s="42" t="s">
        <v>166</v>
      </c>
      <c r="G2" s="42" t="s">
        <v>167</v>
      </c>
    </row>
    <row r="3" spans="2:7" x14ac:dyDescent="0.3">
      <c r="B3" s="40" t="s">
        <v>195</v>
      </c>
      <c r="C3" s="40" t="s">
        <v>196</v>
      </c>
      <c r="D3" s="41">
        <v>8670530</v>
      </c>
      <c r="E3" s="41">
        <v>0</v>
      </c>
      <c r="F3" s="41">
        <v>104046360</v>
      </c>
      <c r="G3" s="41">
        <v>0</v>
      </c>
    </row>
    <row r="4" spans="2:7" ht="43.2" x14ac:dyDescent="0.3">
      <c r="B4" s="40" t="s">
        <v>168</v>
      </c>
      <c r="C4" s="40" t="s">
        <v>169</v>
      </c>
      <c r="D4" s="41">
        <v>9537583</v>
      </c>
      <c r="E4" s="41">
        <v>867053</v>
      </c>
      <c r="F4" s="41">
        <v>114450996</v>
      </c>
      <c r="G4" s="41">
        <v>10404636</v>
      </c>
    </row>
    <row r="5" spans="2:7" ht="28.8" x14ac:dyDescent="0.3">
      <c r="B5" s="40" t="s">
        <v>170</v>
      </c>
      <c r="C5" s="40" t="s">
        <v>171</v>
      </c>
      <c r="D5" s="41">
        <v>9364172</v>
      </c>
      <c r="E5" s="41">
        <v>693642</v>
      </c>
      <c r="F5" s="41">
        <v>112370064</v>
      </c>
      <c r="G5" s="41">
        <v>8323704</v>
      </c>
    </row>
    <row r="6" spans="2:7" ht="28.8" x14ac:dyDescent="0.3">
      <c r="B6" s="40" t="s">
        <v>172</v>
      </c>
      <c r="C6" s="40" t="s">
        <v>173</v>
      </c>
      <c r="D6" s="41">
        <v>8618996</v>
      </c>
      <c r="E6" s="41">
        <v>-51534</v>
      </c>
      <c r="F6" s="41">
        <v>103427952</v>
      </c>
      <c r="G6" s="41">
        <v>-618408</v>
      </c>
    </row>
  </sheetData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8"/>
  <sheetViews>
    <sheetView showGridLines="0" tabSelected="1" zoomScale="94" workbookViewId="0">
      <selection activeCell="K3" sqref="K3"/>
    </sheetView>
  </sheetViews>
  <sheetFormatPr defaultRowHeight="14.4" x14ac:dyDescent="0.3"/>
  <cols>
    <col min="1" max="1" width="8.88671875" style="13"/>
    <col min="2" max="9" width="20" style="13" customWidth="1"/>
    <col min="10" max="16384" width="8.88671875" style="13"/>
  </cols>
  <sheetData>
    <row r="2" spans="2:9" x14ac:dyDescent="0.3">
      <c r="B2" s="49" t="s">
        <v>174</v>
      </c>
      <c r="C2" s="50"/>
      <c r="D2" s="50"/>
      <c r="E2" s="50"/>
      <c r="F2" s="50"/>
      <c r="G2" s="50"/>
      <c r="H2" s="50"/>
      <c r="I2" s="50"/>
    </row>
    <row r="3" spans="2:9" x14ac:dyDescent="0.3">
      <c r="B3" s="14"/>
      <c r="C3" s="14"/>
      <c r="D3" s="14"/>
      <c r="E3" s="14"/>
      <c r="F3" s="14"/>
      <c r="G3" s="14"/>
      <c r="H3" s="14"/>
      <c r="I3" s="14"/>
    </row>
    <row r="4" spans="2:9" ht="28.8" x14ac:dyDescent="0.3">
      <c r="B4" s="20" t="s">
        <v>175</v>
      </c>
      <c r="C4" s="53"/>
      <c r="D4" s="20" t="s">
        <v>176</v>
      </c>
      <c r="E4" s="53"/>
      <c r="F4" s="20" t="s">
        <v>164</v>
      </c>
      <c r="G4" s="53"/>
      <c r="H4" s="20" t="s">
        <v>177</v>
      </c>
      <c r="I4" s="14"/>
    </row>
    <row r="5" spans="2:9" ht="15.6" x14ac:dyDescent="0.3">
      <c r="B5" s="19">
        <f>COUNTA(Employee_Data!A2:A101)</f>
        <v>100</v>
      </c>
      <c r="C5" s="15"/>
      <c r="D5" s="16">
        <f>COUNTA(Department_Cost_Analysis!B3:B8)</f>
        <v>6</v>
      </c>
      <c r="E5" s="15"/>
      <c r="F5" s="52">
        <f>SUM(Payroll_Calculation!M2:M101)</f>
        <v>8670530</v>
      </c>
      <c r="G5" s="17"/>
      <c r="H5" s="54">
        <f>AVERAGE(Payroll_Calculation!M2:M101)</f>
        <v>86705.3</v>
      </c>
      <c r="I5" s="18"/>
    </row>
    <row r="6" spans="2:9" x14ac:dyDescent="0.3">
      <c r="B6" s="15"/>
      <c r="C6" s="15"/>
      <c r="D6" s="15"/>
      <c r="E6" s="15"/>
      <c r="F6" s="15"/>
      <c r="G6" s="15"/>
      <c r="H6" s="15"/>
      <c r="I6" s="14"/>
    </row>
    <row r="7" spans="2:9" ht="28.8" x14ac:dyDescent="0.3">
      <c r="B7" s="20" t="s">
        <v>178</v>
      </c>
      <c r="C7" s="53"/>
      <c r="D7" s="20" t="s">
        <v>179</v>
      </c>
      <c r="E7" s="53"/>
      <c r="F7" s="20" t="s">
        <v>166</v>
      </c>
      <c r="G7" s="53"/>
      <c r="H7" s="20" t="s">
        <v>180</v>
      </c>
      <c r="I7" s="14"/>
    </row>
    <row r="8" spans="2:9" ht="15.6" x14ac:dyDescent="0.3">
      <c r="B8" s="52">
        <f>SUM(Payroll_Calculation!G2:G101)</f>
        <v>257668</v>
      </c>
      <c r="C8" s="17"/>
      <c r="D8" s="52">
        <f>SUM(Payroll_Calculation!F2:F101)</f>
        <v>209752</v>
      </c>
      <c r="E8" s="17"/>
      <c r="F8" s="52">
        <f>SUM(Payroll_Calculation!M2:M101)*12</f>
        <v>104046360</v>
      </c>
      <c r="G8" s="17"/>
      <c r="H8" s="16" t="str">
        <f>INDEX(Department_Cost_Analysis!B3:B8,MATCH(MAX(Department_Cost_Analysis!G3:G8),Department_Cost_Analysis!G3:G8,0))</f>
        <v>Marketing</v>
      </c>
      <c r="I8" s="14"/>
    </row>
  </sheetData>
  <mergeCells count="1">
    <mergeCell ref="B2:I2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showGridLines="0" workbookViewId="0">
      <selection activeCell="B2" sqref="B2:C2"/>
    </sheetView>
  </sheetViews>
  <sheetFormatPr defaultRowHeight="14.4" x14ac:dyDescent="0.3"/>
  <cols>
    <col min="2" max="2" width="10.77734375" customWidth="1"/>
    <col min="3" max="3" width="100.77734375" customWidth="1"/>
  </cols>
  <sheetData>
    <row r="1" spans="1:3" s="3" customFormat="1" x14ac:dyDescent="0.3">
      <c r="B1"/>
      <c r="C1"/>
    </row>
    <row r="2" spans="1:3" s="3" customFormat="1" ht="15.6" x14ac:dyDescent="0.3">
      <c r="B2" s="51" t="s">
        <v>181</v>
      </c>
      <c r="C2" s="51"/>
    </row>
    <row r="3" spans="1:3" s="11" customFormat="1" ht="15.6" x14ac:dyDescent="0.3">
      <c r="A3" s="3"/>
      <c r="B3" s="10"/>
      <c r="C3" s="10"/>
    </row>
    <row r="4" spans="1:3" s="3" customFormat="1" ht="15.6" x14ac:dyDescent="0.3">
      <c r="A4" s="12"/>
      <c r="B4" s="10"/>
      <c r="C4" s="10"/>
    </row>
    <row r="5" spans="1:3" s="3" customFormat="1" ht="30" customHeight="1" x14ac:dyDescent="0.3">
      <c r="B5" s="43" t="s">
        <v>182</v>
      </c>
      <c r="C5" s="44" t="s">
        <v>183</v>
      </c>
    </row>
    <row r="6" spans="1:3" s="3" customFormat="1" ht="30" customHeight="1" x14ac:dyDescent="0.3">
      <c r="B6" s="43" t="s">
        <v>184</v>
      </c>
      <c r="C6" s="44" t="s">
        <v>185</v>
      </c>
    </row>
    <row r="7" spans="1:3" s="3" customFormat="1" ht="30" customHeight="1" x14ac:dyDescent="0.3">
      <c r="B7" s="43" t="s">
        <v>186</v>
      </c>
      <c r="C7" s="44" t="s">
        <v>187</v>
      </c>
    </row>
    <row r="8" spans="1:3" s="3" customFormat="1" ht="30" customHeight="1" x14ac:dyDescent="0.3">
      <c r="A8"/>
      <c r="B8" s="43" t="s">
        <v>188</v>
      </c>
      <c r="C8" s="44" t="s">
        <v>189</v>
      </c>
    </row>
    <row r="9" spans="1:3" ht="30" customHeight="1" x14ac:dyDescent="0.3">
      <c r="B9" s="43" t="s">
        <v>190</v>
      </c>
      <c r="C9" s="44" t="s">
        <v>191</v>
      </c>
    </row>
    <row r="10" spans="1:3" ht="30" customHeight="1" x14ac:dyDescent="0.3">
      <c r="B10" s="43" t="s">
        <v>192</v>
      </c>
      <c r="C10" s="44" t="s">
        <v>193</v>
      </c>
    </row>
  </sheetData>
  <mergeCells count="1">
    <mergeCell ref="B2:C2"/>
  </mergeCells>
  <pageMargins left="0.75" right="0.75" top="1" bottom="1" header="0.5" footer="0.5"/>
  <ignoredErrors>
    <ignoredError sqref="B5:B1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E0AEC062-9B7E-4EED-9366-5A2EE02015C7}">
  <ds:schemaRefs/>
</ds:datastoreItem>
</file>

<file path=customXml/itemProps2.xml><?xml version="1.0" encoding="utf-8"?>
<ds:datastoreItem xmlns:ds="http://schemas.openxmlformats.org/officeDocument/2006/customXml" ds:itemID="{224BD1C8-A21E-4465-9DDC-7A73896A370E}">
  <ds:schemaRefs/>
</ds:datastoreItem>
</file>

<file path=customXml/itemProps3.xml><?xml version="1.0" encoding="utf-8"?>
<ds:datastoreItem xmlns:ds="http://schemas.openxmlformats.org/officeDocument/2006/customXml" ds:itemID="{48712285-BEF4-40A7-8EA0-D02E35BF0412}">
  <ds:schemaRefs/>
</ds:datastoreItem>
</file>

<file path=customXml/itemProps4.xml><?xml version="1.0" encoding="utf-8"?>
<ds:datastoreItem xmlns:ds="http://schemas.openxmlformats.org/officeDocument/2006/customXml" ds:itemID="{4C166277-D9F2-4F8A-B800-EF06E0C0CB8B}">
  <ds:schemaRefs/>
</ds:datastoreItem>
</file>

<file path=customXml/itemProps5.xml><?xml version="1.0" encoding="utf-8"?>
<ds:datastoreItem xmlns:ds="http://schemas.openxmlformats.org/officeDocument/2006/customXml" ds:itemID="{3520CE51-3CF1-4DF7-B43D-7F0474E47AEA}">
  <ds:schemaRefs/>
</ds:datastoreItem>
</file>

<file path=customXml/itemProps6.xml><?xml version="1.0" encoding="utf-8"?>
<ds:datastoreItem xmlns:ds="http://schemas.openxmlformats.org/officeDocument/2006/customXml" ds:itemID="{482C8AB6-0D76-401E-B0B5-2042B745CF46}">
  <ds:schemaRefs/>
</ds:datastoreItem>
</file>

<file path=customXml/itemProps7.xml><?xml version="1.0" encoding="utf-8"?>
<ds:datastoreItem xmlns:ds="http://schemas.openxmlformats.org/officeDocument/2006/customXml" ds:itemID="{10618A9F-6D7A-4E75-ABB7-C4ACF774C425}">
  <ds:schemaRefs/>
</ds:datastoreItem>
</file>

<file path=customXml/itemProps8.xml><?xml version="1.0" encoding="utf-8"?>
<ds:datastoreItem xmlns:ds="http://schemas.openxmlformats.org/officeDocument/2006/customXml" ds:itemID="{34654F5C-CFBA-450B-8D69-2C804149676E}">
  <ds:schemaRefs/>
</ds:datastoreItem>
</file>

<file path=customXml/itemProps9.xml><?xml version="1.0" encoding="utf-8"?>
<ds:datastoreItem xmlns:ds="http://schemas.openxmlformats.org/officeDocument/2006/customXml" ds:itemID="{A3B58096-4BE5-4476-AAD2-06FC8A142285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90DEF9E7-0D5F-48EB-B459-6619AF0354EF}">
  <ds:schemaRefs/>
</ds:datastoreItem>
</file>

<file path=customXml/itemProps11.xml><?xml version="1.0" encoding="utf-8"?>
<ds:datastoreItem xmlns:ds="http://schemas.openxmlformats.org/officeDocument/2006/customXml" ds:itemID="{5C177D4A-F4C4-47FA-B57A-06E05BEAEF59}">
  <ds:schemaRefs/>
</ds:datastoreItem>
</file>

<file path=customXml/itemProps12.xml><?xml version="1.0" encoding="utf-8"?>
<ds:datastoreItem xmlns:ds="http://schemas.openxmlformats.org/officeDocument/2006/customXml" ds:itemID="{FD8BF409-46DD-44C8-9D04-470EAFEFB322}">
  <ds:schemaRefs/>
</ds:datastoreItem>
</file>

<file path=customXml/itemProps13.xml><?xml version="1.0" encoding="utf-8"?>
<ds:datastoreItem xmlns:ds="http://schemas.openxmlformats.org/officeDocument/2006/customXml" ds:itemID="{E4501E99-9B69-4FA4-9AB2-700BBF78EDC6}">
  <ds:schemaRefs/>
</ds:datastoreItem>
</file>

<file path=customXml/itemProps14.xml><?xml version="1.0" encoding="utf-8"?>
<ds:datastoreItem xmlns:ds="http://schemas.openxmlformats.org/officeDocument/2006/customXml" ds:itemID="{76F1108E-70C8-4901-B007-FDB7ACDC381F}">
  <ds:schemaRefs/>
</ds:datastoreItem>
</file>

<file path=customXml/itemProps15.xml><?xml version="1.0" encoding="utf-8"?>
<ds:datastoreItem xmlns:ds="http://schemas.openxmlformats.org/officeDocument/2006/customXml" ds:itemID="{29686586-5404-418F-A6C0-6889210197E0}">
  <ds:schemaRefs/>
</ds:datastoreItem>
</file>

<file path=customXml/itemProps16.xml><?xml version="1.0" encoding="utf-8"?>
<ds:datastoreItem xmlns:ds="http://schemas.openxmlformats.org/officeDocument/2006/customXml" ds:itemID="{437C5E04-F300-4052-8CEC-7FF387862A4D}">
  <ds:schemaRefs/>
</ds:datastoreItem>
</file>

<file path=customXml/itemProps17.xml><?xml version="1.0" encoding="utf-8"?>
<ds:datastoreItem xmlns:ds="http://schemas.openxmlformats.org/officeDocument/2006/customXml" ds:itemID="{873B7931-5D10-4F1E-84F4-ECDD8AA5A9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Employee_Data</vt:lpstr>
      <vt:lpstr>Payroll_Calculation</vt:lpstr>
      <vt:lpstr>Department_Cost_Analysis</vt:lpstr>
      <vt:lpstr>Budget_vs_Actual</vt:lpstr>
      <vt:lpstr>Scenario_Analysis</vt:lpstr>
      <vt:lpstr>Dashboard</vt:lpstr>
      <vt:lpstr>Management_Insights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avanindra singh</cp:lastModifiedBy>
  <dcterms:created xsi:type="dcterms:W3CDTF">2026-09-14T07:02:00Z</dcterms:created>
  <dcterms:modified xsi:type="dcterms:W3CDTF">2026-09-14T09:54:12Z</dcterms:modified>
</cp:coreProperties>
</file>